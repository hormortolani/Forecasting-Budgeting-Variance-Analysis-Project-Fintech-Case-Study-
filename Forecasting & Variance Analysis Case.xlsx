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ncloud-my.sharepoint.com/personal/adedoyin_oluwarotimi_mtn_com/Documents/"/>
    </mc:Choice>
  </mc:AlternateContent>
  <xr:revisionPtr revIDLastSave="0" documentId="8_{5D2D1DD3-F45B-4736-862D-46CC3E2F3EDF}" xr6:coauthVersionLast="47" xr6:coauthVersionMax="47" xr10:uidLastSave="{00000000-0000-0000-0000-000000000000}"/>
  <bookViews>
    <workbookView xWindow="-110" yWindow="-110" windowWidth="19420" windowHeight="10300" activeTab="2" xr2:uid="{1AF6D14B-B5E1-4B17-B4CC-B384BE5E3D20}"/>
  </bookViews>
  <sheets>
    <sheet name="ORIGINAL ANNUAL BUDGET " sheetId="1" r:id="rId1"/>
    <sheet name="ACTUAL RESULTS (JUL–DEC)" sheetId="2" r:id="rId2"/>
    <sheet name="FORECAST" sheetId="3" r:id="rId3"/>
    <sheet name="INCOME STATEMENT" sheetId="5" r:id="rId4"/>
    <sheet name="COST_VARIANCE ANALYSI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C27" i="5" l="1"/>
  <c r="B4" i="4" l="1"/>
  <c r="B6" i="4" s="1"/>
  <c r="B5" i="4"/>
  <c r="C16" i="5" a="1"/>
  <c r="C16" i="5" s="1"/>
  <c r="I49" i="3"/>
  <c r="C6" i="4"/>
  <c r="L15" i="5"/>
  <c r="M15" i="5"/>
  <c r="N15" i="5"/>
  <c r="C15" i="5"/>
  <c r="C19" i="5" a="1"/>
  <c r="C19" i="5" s="1"/>
  <c r="C18" i="5" a="1"/>
  <c r="C18" i="5" s="1"/>
  <c r="C17" i="5" a="1"/>
  <c r="C17" i="5" s="1"/>
  <c r="L9" i="5"/>
  <c r="M9" i="5"/>
  <c r="N9" i="5"/>
  <c r="D9" i="5"/>
  <c r="D15" i="5" s="1"/>
  <c r="E9" i="5"/>
  <c r="E15" i="5" s="1"/>
  <c r="F9" i="5"/>
  <c r="F15" i="5" s="1"/>
  <c r="G9" i="5"/>
  <c r="G15" i="5" s="1"/>
  <c r="H9" i="5"/>
  <c r="H15" i="5" s="1"/>
  <c r="I9" i="5"/>
  <c r="I15" i="5" s="1"/>
  <c r="J9" i="5"/>
  <c r="J15" i="5" s="1"/>
  <c r="K9" i="5"/>
  <c r="K15" i="5" s="1"/>
  <c r="C9" i="5"/>
  <c r="B16" i="5" a="1"/>
  <c r="B16" i="5" s="1"/>
  <c r="D5" i="4"/>
  <c r="G4" i="4"/>
  <c r="G5" i="4" s="1"/>
  <c r="F4" i="4"/>
  <c r="F5" i="4" s="1"/>
  <c r="E4" i="4"/>
  <c r="E6" i="4" s="1"/>
  <c r="D4" i="4"/>
  <c r="D6" i="4" s="1"/>
  <c r="C4" i="4"/>
  <c r="C5" i="4" s="1"/>
  <c r="J51" i="3"/>
  <c r="K51" i="3"/>
  <c r="L51" i="3"/>
  <c r="M51" i="3"/>
  <c r="N51" i="3"/>
  <c r="O51" i="3"/>
  <c r="P51" i="3"/>
  <c r="Q51" i="3"/>
  <c r="R51" i="3"/>
  <c r="S51" i="3"/>
  <c r="T51" i="3"/>
  <c r="I51" i="3"/>
  <c r="J37" i="3"/>
  <c r="J23" i="3" s="1"/>
  <c r="K37" i="3"/>
  <c r="K23" i="3" s="1"/>
  <c r="L37" i="3"/>
  <c r="L23" i="3" s="1"/>
  <c r="M37" i="3"/>
  <c r="M23" i="3" s="1"/>
  <c r="N37" i="3"/>
  <c r="N23" i="3" s="1"/>
  <c r="O37" i="3"/>
  <c r="O23" i="3" s="1"/>
  <c r="P37" i="3"/>
  <c r="P23" i="3" s="1"/>
  <c r="Q37" i="3"/>
  <c r="Q23" i="3" s="1"/>
  <c r="R37" i="3"/>
  <c r="R23" i="3" s="1"/>
  <c r="S37" i="3"/>
  <c r="S23" i="3" s="1"/>
  <c r="T37" i="3"/>
  <c r="T23" i="3" s="1"/>
  <c r="I37" i="3"/>
  <c r="I23" i="3" s="1"/>
  <c r="J44" i="3"/>
  <c r="K44" i="3"/>
  <c r="L44" i="3"/>
  <c r="M44" i="3"/>
  <c r="N44" i="3"/>
  <c r="O44" i="3"/>
  <c r="P44" i="3"/>
  <c r="Q44" i="3"/>
  <c r="R44" i="3"/>
  <c r="S44" i="3"/>
  <c r="T44" i="3"/>
  <c r="I44" i="3"/>
  <c r="D49" i="3"/>
  <c r="E49" i="3"/>
  <c r="F49" i="3"/>
  <c r="G49" i="3"/>
  <c r="H49" i="3"/>
  <c r="J49" i="3"/>
  <c r="K49" i="3"/>
  <c r="L49" i="3"/>
  <c r="M49" i="3"/>
  <c r="N49" i="3"/>
  <c r="O49" i="3"/>
  <c r="P49" i="3"/>
  <c r="Q49" i="3"/>
  <c r="R49" i="3"/>
  <c r="S49" i="3"/>
  <c r="T49" i="3"/>
  <c r="C49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C42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C35" i="3"/>
  <c r="B32" i="3"/>
  <c r="B39" i="3" s="1"/>
  <c r="B46" i="3" s="1"/>
  <c r="B31" i="3"/>
  <c r="B38" i="3" s="1"/>
  <c r="B45" i="3" s="1"/>
  <c r="B30" i="3"/>
  <c r="B37" i="3" s="1"/>
  <c r="B44" i="3" s="1"/>
  <c r="B29" i="3"/>
  <c r="B22" i="3" s="1"/>
  <c r="B28" i="3"/>
  <c r="B35" i="3" s="1"/>
  <c r="B42" i="3" s="1"/>
  <c r="C32" i="3" a="1"/>
  <c r="C32" i="3" s="1"/>
  <c r="C39" i="3" s="1"/>
  <c r="C31" i="3" a="1"/>
  <c r="C31" i="3" s="1"/>
  <c r="C38" i="3" s="1"/>
  <c r="C30" i="3" a="1"/>
  <c r="C30" i="3" s="1"/>
  <c r="C37" i="3" s="1"/>
  <c r="C29" i="3" a="1"/>
  <c r="C29" i="3" s="1"/>
  <c r="C36" i="3" s="1"/>
  <c r="I29" i="3"/>
  <c r="I32" i="3"/>
  <c r="I30" i="3"/>
  <c r="J30" i="3"/>
  <c r="J29" i="3"/>
  <c r="K30" i="3"/>
  <c r="K29" i="3"/>
  <c r="L29" i="3"/>
  <c r="M29" i="3"/>
  <c r="N29" i="3"/>
  <c r="L30" i="3"/>
  <c r="M30" i="3"/>
  <c r="N30" i="3"/>
  <c r="O30" i="3"/>
  <c r="P30" i="3"/>
  <c r="Q30" i="3"/>
  <c r="R30" i="3"/>
  <c r="S30" i="3"/>
  <c r="T30" i="3" s="1"/>
  <c r="O29" i="3"/>
  <c r="P29" i="3"/>
  <c r="Q29" i="3"/>
  <c r="R29" i="3"/>
  <c r="S29" i="3"/>
  <c r="T29" i="3"/>
  <c r="J32" i="3"/>
  <c r="K32" i="3"/>
  <c r="L32" i="3"/>
  <c r="M32" i="3"/>
  <c r="N32" i="3"/>
  <c r="O32" i="3"/>
  <c r="P32" i="3"/>
  <c r="Q32" i="3"/>
  <c r="R32" i="3"/>
  <c r="S32" i="3"/>
  <c r="T32" i="3"/>
  <c r="C20" i="5" l="1"/>
  <c r="H20" i="5"/>
  <c r="G20" i="5"/>
  <c r="J20" i="5"/>
  <c r="I20" i="5"/>
  <c r="N20" i="5"/>
  <c r="F20" i="5"/>
  <c r="M20" i="5"/>
  <c r="E20" i="5"/>
  <c r="L20" i="5"/>
  <c r="D20" i="5"/>
  <c r="K20" i="5"/>
  <c r="F6" i="4"/>
  <c r="E5" i="4"/>
  <c r="G6" i="4"/>
  <c r="B25" i="3"/>
  <c r="G25" i="3"/>
  <c r="E25" i="3"/>
  <c r="F22" i="3"/>
  <c r="D22" i="3"/>
  <c r="G23" i="3"/>
  <c r="C25" i="3"/>
  <c r="H24" i="3"/>
  <c r="E23" i="3"/>
  <c r="C22" i="3"/>
  <c r="D25" i="3"/>
  <c r="F23" i="3"/>
  <c r="C24" i="3"/>
  <c r="G24" i="3"/>
  <c r="D23" i="3"/>
  <c r="B21" i="3"/>
  <c r="C23" i="3"/>
  <c r="F24" i="3"/>
  <c r="H22" i="3"/>
  <c r="H25" i="3"/>
  <c r="E24" i="3"/>
  <c r="G22" i="3"/>
  <c r="B24" i="3"/>
  <c r="D24" i="3"/>
  <c r="B23" i="3"/>
  <c r="F25" i="3"/>
  <c r="H23" i="3"/>
  <c r="E22" i="3"/>
  <c r="T31" i="3"/>
  <c r="S31" i="3"/>
  <c r="R31" i="3"/>
  <c r="Q31" i="3"/>
  <c r="P31" i="3"/>
  <c r="O31" i="3"/>
  <c r="N31" i="3"/>
  <c r="M31" i="3"/>
  <c r="L31" i="3"/>
  <c r="K31" i="3"/>
  <c r="J31" i="3"/>
  <c r="I31" i="3"/>
  <c r="E45" i="3"/>
  <c r="G43" i="3"/>
  <c r="C52" i="3"/>
  <c r="G52" i="3"/>
  <c r="D51" i="3"/>
  <c r="H46" i="3"/>
  <c r="I46" i="3" s="1"/>
  <c r="J46" i="3" s="1"/>
  <c r="K46" i="3" s="1"/>
  <c r="L46" i="3" s="1"/>
  <c r="M46" i="3" s="1"/>
  <c r="N46" i="3" s="1"/>
  <c r="O46" i="3" s="1"/>
  <c r="G46" i="3"/>
  <c r="D45" i="3"/>
  <c r="F43" i="3"/>
  <c r="C51" i="3"/>
  <c r="F52" i="3"/>
  <c r="H50" i="3"/>
  <c r="I50" i="3" s="1"/>
  <c r="C45" i="3"/>
  <c r="G45" i="3"/>
  <c r="D44" i="3"/>
  <c r="C50" i="3"/>
  <c r="D53" i="3"/>
  <c r="F51" i="3"/>
  <c r="C44" i="3"/>
  <c r="F45" i="3"/>
  <c r="H43" i="3"/>
  <c r="I43" i="3" s="1"/>
  <c r="J43" i="3" s="1"/>
  <c r="K43" i="3" s="1"/>
  <c r="L43" i="3" s="1"/>
  <c r="M43" i="3" s="1"/>
  <c r="N43" i="3" s="1"/>
  <c r="O43" i="3" s="1"/>
  <c r="P43" i="3" s="1"/>
  <c r="Q43" i="3" s="1"/>
  <c r="R43" i="3" s="1"/>
  <c r="S43" i="3" s="1"/>
  <c r="T43" i="3" s="1"/>
  <c r="T45" i="3" s="1"/>
  <c r="C53" i="3"/>
  <c r="H52" i="3"/>
  <c r="E51" i="3"/>
  <c r="F46" i="3"/>
  <c r="H44" i="3"/>
  <c r="E43" i="3"/>
  <c r="H53" i="3"/>
  <c r="I53" i="3" s="1"/>
  <c r="J53" i="3" s="1"/>
  <c r="K53" i="3" s="1"/>
  <c r="L53" i="3" s="1"/>
  <c r="M53" i="3" s="1"/>
  <c r="N53" i="3" s="1"/>
  <c r="O53" i="3" s="1"/>
  <c r="E52" i="3"/>
  <c r="G50" i="3"/>
  <c r="E46" i="3"/>
  <c r="G44" i="3"/>
  <c r="D43" i="3"/>
  <c r="G53" i="3"/>
  <c r="D52" i="3"/>
  <c r="F50" i="3"/>
  <c r="C43" i="3"/>
  <c r="D46" i="3"/>
  <c r="F44" i="3"/>
  <c r="F53" i="3"/>
  <c r="H51" i="3"/>
  <c r="E50" i="3"/>
  <c r="C46" i="3"/>
  <c r="H45" i="3"/>
  <c r="E44" i="3"/>
  <c r="E53" i="3"/>
  <c r="G51" i="3"/>
  <c r="D50" i="3"/>
  <c r="B36" i="3"/>
  <c r="B43" i="3" s="1"/>
  <c r="G37" i="3"/>
  <c r="B49" i="3"/>
  <c r="B50" i="3"/>
  <c r="H37" i="3"/>
  <c r="B51" i="3"/>
  <c r="F39" i="3"/>
  <c r="B53" i="3"/>
  <c r="E39" i="3"/>
  <c r="B52" i="3"/>
  <c r="F37" i="3"/>
  <c r="D39" i="3"/>
  <c r="E37" i="3"/>
  <c r="E36" i="3"/>
  <c r="F38" i="3"/>
  <c r="H36" i="3"/>
  <c r="I36" i="3" s="1"/>
  <c r="I38" i="3" s="1"/>
  <c r="D36" i="3"/>
  <c r="H38" i="3"/>
  <c r="D37" i="3"/>
  <c r="H39" i="3"/>
  <c r="I39" i="3" s="1"/>
  <c r="E38" i="3"/>
  <c r="G36" i="3"/>
  <c r="G38" i="3"/>
  <c r="G39" i="3"/>
  <c r="D38" i="3"/>
  <c r="F36" i="3"/>
  <c r="I45" i="3" l="1"/>
  <c r="J39" i="3"/>
  <c r="I25" i="3"/>
  <c r="C11" i="5" s="1"/>
  <c r="J36" i="3"/>
  <c r="I22" i="3"/>
  <c r="I24" i="3"/>
  <c r="K45" i="3"/>
  <c r="O45" i="3"/>
  <c r="S45" i="3"/>
  <c r="L45" i="3"/>
  <c r="P45" i="3"/>
  <c r="P53" i="3"/>
  <c r="Q53" i="3" s="1"/>
  <c r="R53" i="3" s="1"/>
  <c r="S53" i="3" s="1"/>
  <c r="T53" i="3" s="1"/>
  <c r="J50" i="3"/>
  <c r="I52" i="3"/>
  <c r="Q45" i="3"/>
  <c r="J45" i="3"/>
  <c r="M45" i="3"/>
  <c r="P46" i="3"/>
  <c r="Q46" i="3" s="1"/>
  <c r="R46" i="3" s="1"/>
  <c r="S46" i="3" s="1"/>
  <c r="T46" i="3" s="1"/>
  <c r="N45" i="3"/>
  <c r="R45" i="3"/>
  <c r="C10" i="5" l="1"/>
  <c r="K36" i="3"/>
  <c r="J22" i="3"/>
  <c r="J38" i="3"/>
  <c r="J24" i="3" s="1"/>
  <c r="D10" i="5" s="1"/>
  <c r="K39" i="3"/>
  <c r="J25" i="3"/>
  <c r="D11" i="5" s="1"/>
  <c r="K50" i="3"/>
  <c r="J52" i="3"/>
  <c r="C22" i="5" l="1"/>
  <c r="C23" i="5" s="1"/>
  <c r="D12" i="5"/>
  <c r="K25" i="3"/>
  <c r="E11" i="5" s="1"/>
  <c r="L39" i="3"/>
  <c r="L36" i="3"/>
  <c r="K22" i="3"/>
  <c r="K38" i="3"/>
  <c r="K24" i="3" s="1"/>
  <c r="E10" i="5" s="1"/>
  <c r="L50" i="3"/>
  <c r="K52" i="3"/>
  <c r="E12" i="5" l="1"/>
  <c r="D22" i="5"/>
  <c r="D23" i="5" s="1"/>
  <c r="D27" i="5" s="1"/>
  <c r="L22" i="3"/>
  <c r="M36" i="3"/>
  <c r="L38" i="3"/>
  <c r="L24" i="3" s="1"/>
  <c r="F10" i="5" s="1"/>
  <c r="M39" i="3"/>
  <c r="L25" i="3"/>
  <c r="F11" i="5" s="1"/>
  <c r="M50" i="3"/>
  <c r="L52" i="3"/>
  <c r="E22" i="5" l="1"/>
  <c r="E23" i="5" s="1"/>
  <c r="E27" i="5" s="1"/>
  <c r="F12" i="5"/>
  <c r="N39" i="3"/>
  <c r="M25" i="3"/>
  <c r="G11" i="5" s="1"/>
  <c r="M22" i="3"/>
  <c r="N36" i="3"/>
  <c r="M38" i="3"/>
  <c r="M24" i="3" s="1"/>
  <c r="G10" i="5" s="1"/>
  <c r="N50" i="3"/>
  <c r="M52" i="3"/>
  <c r="F22" i="5" l="1"/>
  <c r="F23" i="5" s="1"/>
  <c r="F27" i="5" s="1"/>
  <c r="G12" i="5"/>
  <c r="N22" i="3"/>
  <c r="O36" i="3"/>
  <c r="N38" i="3"/>
  <c r="N24" i="3" s="1"/>
  <c r="H10" i="5" s="1"/>
  <c r="O39" i="3"/>
  <c r="N25" i="3"/>
  <c r="H11" i="5" s="1"/>
  <c r="O50" i="3"/>
  <c r="N52" i="3"/>
  <c r="G22" i="5" l="1"/>
  <c r="G23" i="5" s="1"/>
  <c r="G27" i="5" s="1"/>
  <c r="H12" i="5"/>
  <c r="O22" i="3"/>
  <c r="O38" i="3"/>
  <c r="O24" i="3" s="1"/>
  <c r="I10" i="5" s="1"/>
  <c r="P36" i="3"/>
  <c r="O25" i="3"/>
  <c r="I11" i="5" s="1"/>
  <c r="P39" i="3"/>
  <c r="P50" i="3"/>
  <c r="O52" i="3"/>
  <c r="H22" i="5" l="1"/>
  <c r="H23" i="5" s="1"/>
  <c r="H27" i="5" s="1"/>
  <c r="I12" i="5"/>
  <c r="P22" i="3"/>
  <c r="P38" i="3"/>
  <c r="P24" i="3" s="1"/>
  <c r="J10" i="5" s="1"/>
  <c r="Q36" i="3"/>
  <c r="Q39" i="3"/>
  <c r="P25" i="3"/>
  <c r="J11" i="5" s="1"/>
  <c r="Q50" i="3"/>
  <c r="P52" i="3"/>
  <c r="I22" i="5" l="1"/>
  <c r="I23" i="5" s="1"/>
  <c r="I27" i="5" s="1"/>
  <c r="J12" i="5"/>
  <c r="R39" i="3"/>
  <c r="Q25" i="3"/>
  <c r="K11" i="5" s="1"/>
  <c r="Q22" i="3"/>
  <c r="Q38" i="3"/>
  <c r="Q24" i="3" s="1"/>
  <c r="K10" i="5" s="1"/>
  <c r="R36" i="3"/>
  <c r="R50" i="3"/>
  <c r="Q52" i="3"/>
  <c r="K12" i="5" l="1"/>
  <c r="J22" i="5"/>
  <c r="J23" i="5" s="1"/>
  <c r="J27" i="5" s="1"/>
  <c r="K22" i="5"/>
  <c r="K23" i="5" s="1"/>
  <c r="K27" i="5" s="1"/>
  <c r="R22" i="3"/>
  <c r="R38" i="3"/>
  <c r="R24" i="3" s="1"/>
  <c r="L10" i="5" s="1"/>
  <c r="S36" i="3"/>
  <c r="S39" i="3"/>
  <c r="R25" i="3"/>
  <c r="L11" i="5" s="1"/>
  <c r="S50" i="3"/>
  <c r="R52" i="3"/>
  <c r="L12" i="5" l="1"/>
  <c r="T39" i="3"/>
  <c r="T25" i="3" s="1"/>
  <c r="N11" i="5" s="1"/>
  <c r="S25" i="3"/>
  <c r="M11" i="5" s="1"/>
  <c r="S22" i="3"/>
  <c r="S38" i="3"/>
  <c r="S24" i="3" s="1"/>
  <c r="M10" i="5" s="1"/>
  <c r="T36" i="3"/>
  <c r="T50" i="3"/>
  <c r="T52" i="3" s="1"/>
  <c r="S52" i="3"/>
  <c r="L22" i="5" l="1"/>
  <c r="L23" i="5" s="1"/>
  <c r="L27" i="5" s="1"/>
  <c r="M12" i="5"/>
  <c r="T38" i="3"/>
  <c r="T24" i="3" s="1"/>
  <c r="T22" i="3"/>
  <c r="N10" i="5" l="1"/>
  <c r="N12" i="5" s="1"/>
  <c r="C4" i="5"/>
  <c r="M22" i="5"/>
  <c r="M23" i="5" s="1"/>
  <c r="M27" i="5" s="1"/>
  <c r="N22" i="5" l="1"/>
  <c r="N23" i="5" s="1"/>
  <c r="N27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<sst xmlns="http://schemas.openxmlformats.org/spreadsheetml/2006/main" count="78" uniqueCount="51">
  <si>
    <t>Month</t>
  </si>
  <si>
    <t>Transactions (m)</t>
  </si>
  <si>
    <t>Avg Fee (₦)</t>
  </si>
  <si>
    <t>Revenue</t>
  </si>
  <si>
    <t>Marketing</t>
  </si>
  <si>
    <t>Tech</t>
  </si>
  <si>
    <t>Staff</t>
  </si>
  <si>
    <t>Total Cost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</si>
  <si>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</si>
  <si>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</si>
  <si>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</si>
  <si>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</si>
  <si>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</si>
  <si>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</si>
  <si>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</si>
  <si>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</si>
  <si>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</si>
  <si>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</si>
  <si>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</si>
  <si>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</si>
  <si>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</si>
  <si>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Actual Revenue</t>
  </si>
  <si>
    <t>Actual Cost</t>
  </si>
  <si>
    <t>Operation</t>
  </si>
  <si>
    <t>Scenario 1</t>
  </si>
  <si>
    <t>Scenario 2</t>
  </si>
  <si>
    <t>Transactions Grow                      MoM(%)</t>
  </si>
  <si>
    <t>Costs Grow                                       MoM(%)</t>
  </si>
  <si>
    <t>Average Fee Remains                        ₦</t>
  </si>
  <si>
    <t>Scenario 3</t>
  </si>
  <si>
    <t>Actual</t>
  </si>
  <si>
    <t>Forecast</t>
  </si>
  <si>
    <t>Base Case</t>
  </si>
  <si>
    <t>Transactions Grow     MoM(%)</t>
  </si>
  <si>
    <t>Average Fee Remains    ₦</t>
  </si>
  <si>
    <t>Costs Grow  MoM(%)</t>
  </si>
  <si>
    <t>Revenue Variance</t>
  </si>
  <si>
    <t>Price Variance</t>
  </si>
  <si>
    <t>Total Revenue Variance</t>
  </si>
  <si>
    <t>Live Case</t>
  </si>
  <si>
    <t>Operating Expensive Scenario</t>
  </si>
  <si>
    <t>Income Statement Forecast</t>
  </si>
  <si>
    <t>Operationg Expenses</t>
  </si>
  <si>
    <t>Total Operating Expenses</t>
  </si>
  <si>
    <t>Gross Profit</t>
  </si>
  <si>
    <t>Operating Income</t>
  </si>
  <si>
    <t>Tax Rate</t>
  </si>
  <si>
    <t>Taxes</t>
  </si>
  <si>
    <t>Net Income</t>
  </si>
  <si>
    <t xml:space="preserve"> </t>
  </si>
  <si>
    <t>Variance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</si>
</sst>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_(* #,##0_);_(* \(#,##0\);_(* &quot;-&quot;??_);_(@_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Inherit"/>
    </font>
    <font>
      <b/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trike/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1" fontId="0" fillId="0" borderId="0" xfId="1" applyNumberFormat="1" applyFont="1" applyAlignment="1">
      <alignment horizontal="left" vertical="center" wrapText="1"/>
    </xf>
    <xf numFmtId="171" fontId="0" fillId="0" borderId="0" xfId="1" applyNumberFormat="1" applyFont="1"/>
    <xf numFmtId="171" fontId="0" fillId="0" borderId="0" xfId="1" applyNumberFormat="1" applyFont="1" applyAlignment="1">
      <alignment vertical="center" wrapText="1"/>
    </xf>
    <xf numFmtId="171" fontId="0" fillId="0" borderId="0" xfId="0" applyNumberFormat="1"/>
    <xf numFmtId="0" fontId="0" fillId="0" borderId="1" xfId="0" applyBorder="1"/>
    <xf numFmtId="9" fontId="0" fillId="0" borderId="0" xfId="2" applyFont="1"/>
    <xf numFmtId="0" fontId="6" fillId="0" borderId="0" xfId="0" applyFont="1"/>
    <xf numFmtId="17" fontId="0" fillId="0" borderId="0" xfId="0" applyNumberFormat="1"/>
    <xf numFmtId="0" fontId="0" fillId="0" borderId="0" xfId="0" applyFont="1"/>
    <xf numFmtId="17" fontId="3" fillId="0" borderId="1" xfId="0" applyNumberFormat="1" applyFont="1" applyBorder="1" applyAlignment="1">
      <alignment horizontal="center"/>
    </xf>
    <xf numFmtId="17" fontId="5" fillId="2" borderId="1" xfId="0" applyNumberFormat="1" applyFont="1" applyFill="1" applyBorder="1" applyAlignment="1">
      <alignment horizontal="center" vertical="center" wrapText="1"/>
    </xf>
    <xf numFmtId="17" fontId="3" fillId="0" borderId="1" xfId="0" applyNumberFormat="1" applyFont="1" applyBorder="1"/>
    <xf numFmtId="0" fontId="7" fillId="0" borderId="1" xfId="0" applyFont="1" applyBorder="1"/>
    <xf numFmtId="0" fontId="8" fillId="4" borderId="0" xfId="0" applyFont="1" applyFill="1" applyAlignment="1">
      <alignment horizontal="center"/>
    </xf>
    <xf numFmtId="0" fontId="3" fillId="0" borderId="1" xfId="0" applyFont="1" applyBorder="1"/>
    <xf numFmtId="0" fontId="6" fillId="0" borderId="2" xfId="0" applyFont="1" applyBorder="1"/>
    <xf numFmtId="0" fontId="3" fillId="0" borderId="3" xfId="0" applyFont="1" applyBorder="1"/>
    <xf numFmtId="43" fontId="0" fillId="0" borderId="0" xfId="0" applyNumberFormat="1"/>
    <xf numFmtId="9" fontId="7" fillId="0" borderId="1" xfId="0" applyNumberFormat="1" applyFont="1" applyBorder="1"/>
    <xf numFmtId="9" fontId="9" fillId="0" borderId="1" xfId="0" applyNumberFormat="1" applyFont="1" applyBorder="1"/>
    <xf numFmtId="0" fontId="7" fillId="0" borderId="0" xfId="0" applyFont="1" applyBorder="1"/>
    <xf numFmtId="9" fontId="7" fillId="0" borderId="0" xfId="0" applyNumberFormat="1" applyFont="1" applyBorder="1"/>
    <xf numFmtId="0" fontId="3" fillId="4" borderId="0" xfId="0" applyFont="1" applyFill="1" applyAlignment="1">
      <alignment horizontal="center" vertical="center"/>
    </xf>
    <xf numFmtId="17" fontId="5" fillId="2" borderId="4" xfId="0" applyNumberFormat="1" applyFont="1" applyFill="1" applyBorder="1" applyAlignment="1">
      <alignment horizontal="center" vertical="center" wrapText="1"/>
    </xf>
    <xf numFmtId="17" fontId="5" fillId="2" borderId="5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171" fontId="0" fillId="0" borderId="1" xfId="1" applyNumberFormat="1" applyFont="1" applyBorder="1"/>
    <xf numFmtId="0" fontId="4" fillId="3" borderId="6" xfId="0" applyFont="1" applyFill="1" applyBorder="1" applyAlignment="1">
      <alignment horizontal="left"/>
    </xf>
    <xf numFmtId="0" fontId="0" fillId="4" borderId="6" xfId="0" applyFont="1" applyFill="1" applyBorder="1" applyAlignment="1">
      <alignment horizontal="left"/>
    </xf>
    <xf numFmtId="0" fontId="0" fillId="4" borderId="7" xfId="0" applyFont="1" applyFill="1" applyBorder="1" applyAlignment="1">
      <alignment horizontal="left"/>
    </xf>
    <xf numFmtId="17" fontId="5" fillId="2" borderId="9" xfId="0" applyNumberFormat="1" applyFont="1" applyFill="1" applyBorder="1" applyAlignment="1">
      <alignment horizontal="center" vertical="center" wrapText="1"/>
    </xf>
    <xf numFmtId="171" fontId="0" fillId="0" borderId="10" xfId="1" applyNumberFormat="1" applyFont="1" applyBorder="1"/>
    <xf numFmtId="0" fontId="3" fillId="0" borderId="11" xfId="0" applyFont="1" applyBorder="1"/>
    <xf numFmtId="171" fontId="0" fillId="0" borderId="12" xfId="1" applyNumberFormat="1" applyFont="1" applyBorder="1"/>
    <xf numFmtId="171" fontId="0" fillId="0" borderId="13" xfId="1" applyNumberFormat="1" applyFont="1" applyBorder="1"/>
    <xf numFmtId="0" fontId="6" fillId="0" borderId="14" xfId="0" applyFont="1" applyBorder="1"/>
    <xf numFmtId="0" fontId="4" fillId="3" borderId="15" xfId="0" applyFont="1" applyFill="1" applyBorder="1" applyAlignment="1">
      <alignment horizontal="left"/>
    </xf>
    <xf numFmtId="0" fontId="0" fillId="4" borderId="15" xfId="0" applyFont="1" applyFill="1" applyBorder="1" applyAlignment="1">
      <alignment horizontal="left"/>
    </xf>
    <xf numFmtId="0" fontId="0" fillId="4" borderId="16" xfId="0" applyFont="1" applyFill="1" applyBorder="1" applyAlignment="1">
      <alignment horizontal="left"/>
    </xf>
    <xf numFmtId="0" fontId="3" fillId="0" borderId="17" xfId="0" applyFont="1" applyBorder="1"/>
    <xf numFmtId="17" fontId="5" fillId="2" borderId="10" xfId="0" applyNumberFormat="1" applyFont="1" applyFill="1" applyBorder="1" applyAlignment="1">
      <alignment horizontal="center" vertical="center" wrapText="1"/>
    </xf>
    <xf numFmtId="0" fontId="3" fillId="0" borderId="18" xfId="0" applyFont="1" applyBorder="1"/>
    <xf numFmtId="171" fontId="0" fillId="0" borderId="1" xfId="0" applyNumberFormat="1" applyBorder="1"/>
    <xf numFmtId="0" fontId="3" fillId="0" borderId="14" xfId="0" applyFont="1" applyBorder="1" applyAlignment="1"/>
    <xf numFmtId="17" fontId="3" fillId="0" borderId="10" xfId="0" applyNumberFormat="1" applyFont="1" applyBorder="1" applyAlignment="1">
      <alignment horizontal="center"/>
    </xf>
    <xf numFmtId="171" fontId="0" fillId="0" borderId="10" xfId="0" applyNumberFormat="1" applyBorder="1"/>
    <xf numFmtId="171" fontId="0" fillId="0" borderId="12" xfId="0" applyNumberFormat="1" applyBorder="1"/>
    <xf numFmtId="171" fontId="0" fillId="0" borderId="13" xfId="0" applyNumberFormat="1" applyBorder="1"/>
    <xf numFmtId="17" fontId="3" fillId="0" borderId="10" xfId="0" applyNumberFormat="1" applyFont="1" applyBorder="1"/>
    <xf numFmtId="0" fontId="0" fillId="0" borderId="10" xfId="0" applyBorder="1"/>
    <xf numFmtId="171" fontId="0" fillId="0" borderId="1" xfId="0" applyNumberFormat="1" applyFont="1" applyBorder="1"/>
    <xf numFmtId="171" fontId="0" fillId="0" borderId="10" xfId="0" applyNumberFormat="1" applyFont="1" applyBorder="1"/>
    <xf numFmtId="171" fontId="0" fillId="0" borderId="12" xfId="0" applyNumberFormat="1" applyFont="1" applyBorder="1"/>
    <xf numFmtId="171" fontId="3" fillId="0" borderId="0" xfId="0" applyNumberFormat="1" applyFont="1"/>
    <xf numFmtId="9" fontId="0" fillId="0" borderId="0" xfId="0" applyNumberFormat="1"/>
    <xf numFmtId="43" fontId="1" fillId="4" borderId="0" xfId="1" applyFont="1" applyFill="1"/>
    <xf numFmtId="17" fontId="3" fillId="4" borderId="1" xfId="0" applyNumberFormat="1" applyFont="1" applyFill="1" applyBorder="1" applyAlignment="1">
      <alignment horizontal="center"/>
    </xf>
    <xf numFmtId="171" fontId="3" fillId="0" borderId="1" xfId="1" applyNumberFormat="1" applyFont="1" applyBorder="1"/>
    <xf numFmtId="0" fontId="3" fillId="4" borderId="0" xfId="0" applyFont="1" applyFill="1"/>
    <xf numFmtId="0" fontId="2" fillId="3" borderId="0" xfId="0" applyFont="1" applyFill="1"/>
    <xf numFmtId="171" fontId="3" fillId="0" borderId="1" xfId="0" applyNumberFormat="1" applyFont="1" applyBorder="1"/>
    <xf numFmtId="9" fontId="0" fillId="0" borderId="1" xfId="0" applyNumberFormat="1" applyBorder="1"/>
    <xf numFmtId="171" fontId="6" fillId="0" borderId="0" xfId="0" applyNumberFormat="1" applyFont="1"/>
    <xf numFmtId="0" fontId="4" fillId="0" borderId="0" xfId="0" applyFont="1"/>
    <xf numFmtId="17" fontId="2" fillId="3" borderId="0" xfId="0" applyNumberFormat="1" applyFont="1" applyFill="1" applyAlignment="1">
      <alignment horizontal="center"/>
    </xf>
    <xf numFmtId="171" fontId="0" fillId="0" borderId="0" xfId="0" applyNumberFormat="1" applyAlignment="1">
      <alignment vertical="center" wrapText="1"/>
    </xf>
    <xf numFmtId="17" fontId="3" fillId="0" borderId="15" xfId="0" applyNumberFormat="1" applyFont="1" applyBorder="1" applyAlignment="1">
      <alignment horizontal="center"/>
    </xf>
    <xf numFmtId="17" fontId="3" fillId="0" borderId="16" xfId="0" applyNumberFormat="1" applyFont="1" applyBorder="1" applyAlignment="1">
      <alignment horizontal="center"/>
    </xf>
    <xf numFmtId="0" fontId="4" fillId="3" borderId="14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'INCOME STATEMENT'!$B$27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STATEMENT'!$C$27:$N$27</c:f>
              <c:numCache>
                <c:formatCode>_(* #,##0_);_(* \(#,##0\);_(* "-"??_);_(@_)</c:formatCode>
                <c:ptCount val="12"/>
                <c:pt idx="0">
                  <c:v>49308000</c:v>
                </c:pt>
                <c:pt idx="1">
                  <c:v>55583640</c:v>
                </c:pt>
                <c:pt idx="2">
                  <c:v>62477881.200000018</c:v>
                </c:pt>
                <c:pt idx="3">
                  <c:v>69589133.31660004</c:v>
                </c:pt>
                <c:pt idx="4">
                  <c:v>77245924.275678053</c:v>
                </c:pt>
                <c:pt idx="5">
                  <c:v>85431941.526169807</c:v>
                </c:pt>
                <c:pt idx="6">
                  <c:v>94207257.322122768</c:v>
                </c:pt>
                <c:pt idx="7">
                  <c:v>103637036.40544493</c:v>
                </c:pt>
                <c:pt idx="8">
                  <c:v>114091957.74031053</c:v>
                </c:pt>
                <c:pt idx="9">
                  <c:v>125648670.70308684</c:v>
                </c:pt>
                <c:pt idx="10">
                  <c:v>138240288.52006283</c:v>
                </c:pt>
                <c:pt idx="11">
                  <c:v>152106921.97043335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FA-4759-981E-EA26F220A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5155007"/>
        <c:axId val="1655159327"/>
      </c:lineChart>
      <c:catAx>
        <c:axId val="1655155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59327"/>
        <c:crosses val="autoZero"/>
        <c:auto val="1"/>
        <c:lblAlgn val="ctr"/>
        <c:lblOffset val="100"/>
        <c:noMultiLvlLbl val="0"/>
      </c:catAx>
      <c:valAx>
        <c:axId val="165515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550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30305</xdr:colOff>
      <xdr:row>7</xdr:row>
      <xdr:rowOff>157885</xdr:rowOff>
    </xdr:from>
    <xdr:to>
      <xdr:col>32</xdr:col>
      <xdr:colOff>185014</xdr:colOff>
      <xdr:row>22</xdr:row>
      <xdr:rowOff>173471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4A1943-47C5-6E26-5AA3-153DD0D6B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E59A-6E8A-4EDB-B7BF-B27B6D7D5EC2}">
  <sheetPr>
    <tabColor rgb="FFFFC000"/>
  </sheetPr>
  <dimension ref="A1:O35"/>
  <sheetViews>
    <sheetView zoomScale="90" zoomScaleNormal="90" workbookViewId="0">
      <selection activeCell="I3" sqref="I3"/>
    </sheetView>
  </sheetViews>
  <sheetFormatPr defaultRowHeight="14.5"/>
  <cols>
    <col min="1" max="1" width="6.08984375" bestFit="1" customWidth="1"/>
    <col min="2" max="2" width="15.36328125" customWidth="1"/>
    <col min="3" max="3" width="13.26953125" customWidth="1"/>
    <col min="4" max="4" width="14.81640625" bestFit="1" customWidth="1"/>
    <col min="5" max="5" width="14.1796875" bestFit="1" customWidth="1"/>
    <col min="6" max="8" width="13.7265625" bestFit="1" customWidth="1"/>
    <col min="9" max="9" width="14.26953125" customWidth="1"/>
    <col min="10" max="10" width="14.81640625" bestFit="1" customWidth="1"/>
    <col min="11" max="11" width="15.81640625" bestFit="1" customWidth="1"/>
    <col min="12" max="12" width="20.54296875" bestFit="1" customWidth="1"/>
    <col min="15" max="15" width="12.5429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5">
      <c r="A2" s="2" t="s">
        <v>9</v>
      </c>
      <c r="B2" s="3">
        <v>2000000</v>
      </c>
      <c r="C2" s="2">
        <v>50</v>
      </c>
      <c r="D2" s="5">
        <v>100000000</v>
      </c>
      <c r="E2" s="5">
        <v>20000000</v>
      </c>
      <c r="F2" s="5">
        <v>15000000</v>
      </c>
      <c r="G2" s="5">
        <v>10000000</v>
      </c>
      <c r="H2" s="5">
        <v>18000000</v>
      </c>
      <c r="I2" s="5">
        <v>63000000</v>
      </c>
      <c r="J2" s="5">
        <v>37000000</v>
      </c>
      <c r="L2" s="8"/>
      <c r="O2" s="6"/>
    </row>
    <row r="3" spans="1:15">
      <c r="A3" s="2" t="s">
        <v>10</v>
      </c>
      <c r="B3" s="3">
        <v>2100000</v>
      </c>
      <c r="C3" s="2">
        <v>50</v>
      </c>
      <c r="D3" s="5">
        <v>105000000</v>
      </c>
      <c r="E3" s="5">
        <v>20000000</v>
      </c>
      <c r="F3" s="5">
        <v>15000000</v>
      </c>
      <c r="G3" s="5">
        <v>10000000</v>
      </c>
      <c r="H3" s="5">
        <v>18000000</v>
      </c>
      <c r="I3" s="5">
        <v>63000000</v>
      </c>
      <c r="J3" s="5">
        <v>42000000</v>
      </c>
      <c r="L3" s="8"/>
      <c r="O3" s="6"/>
    </row>
    <row r="4" spans="1:15">
      <c r="A4" s="2" t="s">
        <v>11</v>
      </c>
      <c r="B4" s="3">
        <v>2300000</v>
      </c>
      <c r="C4" s="2">
        <v>50</v>
      </c>
      <c r="D4" s="5">
        <v>115000000</v>
      </c>
      <c r="E4" s="5">
        <v>22000000</v>
      </c>
      <c r="F4" s="5">
        <v>16000000</v>
      </c>
      <c r="G4" s="5">
        <v>10000000</v>
      </c>
      <c r="H4" s="5">
        <v>18000000</v>
      </c>
      <c r="I4" s="5">
        <v>66000000</v>
      </c>
      <c r="J4" s="5">
        <v>49000000</v>
      </c>
      <c r="L4" s="8"/>
      <c r="O4" s="6"/>
    </row>
    <row r="5" spans="1:15">
      <c r="A5" s="2" t="s">
        <v>12</v>
      </c>
      <c r="B5" s="3">
        <v>2400000</v>
      </c>
      <c r="C5" s="2">
        <v>50</v>
      </c>
      <c r="D5" s="5">
        <v>120000000</v>
      </c>
      <c r="E5" s="5">
        <v>22000000</v>
      </c>
      <c r="F5" s="5">
        <v>16000000</v>
      </c>
      <c r="G5" s="5">
        <v>11000000</v>
      </c>
      <c r="H5" s="5">
        <v>18000000</v>
      </c>
      <c r="I5" s="5">
        <v>67000000</v>
      </c>
      <c r="J5" s="5">
        <v>53000000</v>
      </c>
      <c r="L5" s="8"/>
      <c r="O5" s="6"/>
    </row>
    <row r="6" spans="1:15">
      <c r="A6" s="2" t="s">
        <v>13</v>
      </c>
      <c r="B6" s="3">
        <v>2600000</v>
      </c>
      <c r="C6" s="2">
        <v>50</v>
      </c>
      <c r="D6" s="5">
        <v>130000000</v>
      </c>
      <c r="E6" s="5">
        <v>24000000</v>
      </c>
      <c r="F6" s="5">
        <v>17000000</v>
      </c>
      <c r="G6" s="5">
        <v>11000000</v>
      </c>
      <c r="H6" s="5">
        <v>19000000</v>
      </c>
      <c r="I6" s="5">
        <v>71000000</v>
      </c>
      <c r="J6" s="5">
        <v>59000000</v>
      </c>
      <c r="L6" s="8"/>
      <c r="O6" s="6"/>
    </row>
    <row r="7" spans="1:15">
      <c r="A7" s="2" t="s">
        <v>14</v>
      </c>
      <c r="B7" s="3">
        <v>2800000</v>
      </c>
      <c r="C7" s="2">
        <v>50</v>
      </c>
      <c r="D7" s="5">
        <v>140000000</v>
      </c>
      <c r="E7" s="5">
        <v>25000000</v>
      </c>
      <c r="F7" s="5">
        <v>18000000</v>
      </c>
      <c r="G7" s="5">
        <v>12000000</v>
      </c>
      <c r="H7" s="5">
        <v>19000000</v>
      </c>
      <c r="I7" s="5">
        <v>74000000</v>
      </c>
      <c r="J7" s="5">
        <v>66000000</v>
      </c>
      <c r="L7" s="8"/>
      <c r="O7" s="6"/>
    </row>
    <row r="8" spans="1:15">
      <c r="A8" s="2" t="s">
        <v>15</v>
      </c>
      <c r="B8" s="3">
        <v>3000000</v>
      </c>
      <c r="C8" s="2">
        <v>50</v>
      </c>
      <c r="D8" s="5">
        <v>150000000</v>
      </c>
      <c r="E8" s="5">
        <v>26000000</v>
      </c>
      <c r="F8" s="5">
        <v>18000000</v>
      </c>
      <c r="G8" s="5">
        <v>12000000</v>
      </c>
      <c r="H8" s="5">
        <v>20000000</v>
      </c>
      <c r="I8" s="5">
        <v>76000000</v>
      </c>
      <c r="J8" s="5">
        <v>74000000</v>
      </c>
      <c r="L8" s="8"/>
      <c r="O8" s="6"/>
    </row>
    <row r="9" spans="1:15">
      <c r="A9" s="2" t="s">
        <v>16</v>
      </c>
      <c r="B9" s="3">
        <v>3100000</v>
      </c>
      <c r="C9" s="2">
        <v>50</v>
      </c>
      <c r="D9" s="5">
        <v>155000000</v>
      </c>
      <c r="E9" s="5">
        <v>26000000</v>
      </c>
      <c r="F9" s="5">
        <v>19000000</v>
      </c>
      <c r="G9" s="5">
        <v>12000000</v>
      </c>
      <c r="H9" s="5">
        <v>20000000</v>
      </c>
      <c r="I9" s="5">
        <v>77000000</v>
      </c>
      <c r="J9" s="5">
        <v>78000000</v>
      </c>
      <c r="L9" s="8"/>
      <c r="O9" s="6"/>
    </row>
    <row r="10" spans="1:15">
      <c r="A10" s="2" t="s">
        <v>17</v>
      </c>
      <c r="B10" s="3">
        <v>3200000</v>
      </c>
      <c r="C10" s="2">
        <v>50</v>
      </c>
      <c r="D10" s="5">
        <v>160000000</v>
      </c>
      <c r="E10" s="5">
        <v>27000000</v>
      </c>
      <c r="F10" s="5">
        <v>19000000</v>
      </c>
      <c r="G10" s="5">
        <v>13000000</v>
      </c>
      <c r="H10" s="5">
        <v>20000000</v>
      </c>
      <c r="I10" s="5">
        <v>79000000</v>
      </c>
      <c r="J10" s="5">
        <v>81000000</v>
      </c>
      <c r="L10" s="8"/>
      <c r="O10" s="6"/>
    </row>
    <row r="11" spans="1:15">
      <c r="A11" s="2" t="s">
        <v>18</v>
      </c>
      <c r="B11" s="3">
        <v>3400000</v>
      </c>
      <c r="C11" s="2">
        <v>50</v>
      </c>
      <c r="D11" s="5">
        <v>170000000</v>
      </c>
      <c r="E11" s="5">
        <v>28000000</v>
      </c>
      <c r="F11" s="5">
        <v>20000000</v>
      </c>
      <c r="G11" s="5">
        <v>13000000</v>
      </c>
      <c r="H11" s="5">
        <v>21000000</v>
      </c>
      <c r="I11" s="5">
        <v>82000000</v>
      </c>
      <c r="J11" s="5">
        <v>88000000</v>
      </c>
      <c r="L11" s="8"/>
      <c r="O11" s="6"/>
    </row>
    <row r="12" spans="1:15">
      <c r="A12" s="2" t="s">
        <v>19</v>
      </c>
      <c r="B12" s="3">
        <v>3600000</v>
      </c>
      <c r="C12" s="2">
        <v>50</v>
      </c>
      <c r="D12" s="5">
        <v>180000000</v>
      </c>
      <c r="E12" s="5">
        <v>29000000</v>
      </c>
      <c r="F12" s="5">
        <v>21000000</v>
      </c>
      <c r="G12" s="5">
        <v>14000000</v>
      </c>
      <c r="H12" s="5">
        <v>21000000</v>
      </c>
      <c r="I12" s="5">
        <v>85000000</v>
      </c>
      <c r="J12" s="5">
        <v>95000000</v>
      </c>
      <c r="L12" s="8"/>
      <c r="O12" s="6"/>
    </row>
    <row r="13" spans="1:15">
      <c r="A13" s="2" t="s">
        <v>20</v>
      </c>
      <c r="B13" s="3">
        <v>3800000</v>
      </c>
      <c r="C13" s="2">
        <v>50</v>
      </c>
      <c r="D13" s="5">
        <v>190000000</v>
      </c>
      <c r="E13" s="5">
        <v>30000000</v>
      </c>
      <c r="F13" s="5">
        <v>22000000</v>
      </c>
      <c r="G13" s="5">
        <v>15000000</v>
      </c>
      <c r="H13" s="5">
        <v>22000000</v>
      </c>
      <c r="I13" s="5">
        <v>89000000</v>
      </c>
      <c r="J13" s="5">
        <v>101000000</v>
      </c>
      <c r="K13" s="20"/>
      <c r="L13" s="8"/>
      <c r="O13" s="6"/>
    </row>
    <row r="14" spans="1:15">
      <c r="A14" s="2"/>
      <c r="B14" s="6"/>
      <c r="C14" s="2"/>
      <c r="D14" s="6"/>
      <c r="E14" s="4"/>
      <c r="F14" s="6"/>
      <c r="G14" s="6"/>
      <c r="H14" s="6"/>
      <c r="I14" s="4"/>
      <c r="J14" s="6"/>
    </row>
    <row r="15" spans="1:15">
      <c r="A15" s="2"/>
      <c r="B15" s="6"/>
      <c r="C15" s="2"/>
      <c r="D15" s="6"/>
      <c r="E15" s="4"/>
      <c r="F15" s="6"/>
      <c r="G15" s="6"/>
      <c r="H15" s="6"/>
      <c r="I15" s="4"/>
      <c r="J15" s="6"/>
    </row>
    <row r="16" spans="1:15">
      <c r="A16" s="2"/>
      <c r="B16" s="6"/>
      <c r="C16" s="2"/>
      <c r="D16" s="6"/>
      <c r="E16" s="4"/>
      <c r="F16" s="6"/>
      <c r="G16" s="6"/>
      <c r="H16" s="6"/>
      <c r="I16" s="4"/>
      <c r="J16" s="6"/>
    </row>
    <row r="17" spans="1:13">
      <c r="A17" s="2"/>
      <c r="B17" s="6"/>
      <c r="C17" s="68"/>
      <c r="D17" s="6"/>
      <c r="E17" s="4"/>
      <c r="F17" s="6"/>
      <c r="G17" s="6"/>
      <c r="H17" s="6"/>
      <c r="I17" s="4"/>
      <c r="J17" s="6"/>
    </row>
    <row r="18" spans="1:13">
      <c r="A18" s="2"/>
      <c r="B18" s="6"/>
      <c r="C18" s="2"/>
      <c r="D18" s="6"/>
      <c r="E18" s="4"/>
      <c r="F18" s="6"/>
      <c r="G18" s="6"/>
      <c r="H18" s="6"/>
      <c r="I18" s="4"/>
      <c r="J18" s="6"/>
    </row>
    <row r="19" spans="1:13">
      <c r="A19" s="2"/>
      <c r="B19" s="6"/>
      <c r="C19" s="2"/>
      <c r="D19" s="6"/>
      <c r="E19" s="4"/>
      <c r="F19" s="6"/>
      <c r="G19" s="6"/>
      <c r="H19" s="6"/>
      <c r="I19" s="4"/>
      <c r="J19" s="6"/>
    </row>
    <row r="23" spans="1:13"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4:13"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4:13"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4:13">
      <c r="D35" s="2"/>
      <c r="E35" s="2"/>
      <c r="F35" s="2"/>
      <c r="G35" s="2"/>
      <c r="H35" s="2"/>
      <c r="I35" s="2"/>
      <c r="J35" s="2"/>
      <c r="K35" s="2"/>
      <c r="L35" s="2"/>
      <c r="M35" s="2"/>
    </row>
  </sheetData>
  <phoneticPr fontId="10" type="noConversion"/>
  <pageMargins left="0.7" right="0.7" top="0.75" bottom="0.75" header="0.3" footer="0.3"/>
  <headerFooter>
    <oddFooter>&amp;L_x000D_&amp;1#&amp;"Calibri"&amp;10&amp;K000000 Sensitivity: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9B37-4C64-4817-AEB2-59BFC27C18EA}">
  <sheetPr>
    <tabColor theme="9" tint="0.79998168889431442"/>
  </sheetPr>
  <dimension ref="A1:H7"/>
  <sheetViews>
    <sheetView zoomScale="80" zoomScaleNormal="80" workbookViewId="0">
      <selection activeCell="F2" sqref="F2"/>
    </sheetView>
  </sheetViews>
  <sheetFormatPr defaultRowHeight="14.5"/>
  <cols>
    <col min="1" max="1" width="6.08984375" bestFit="1" customWidth="1"/>
    <col min="2" max="2" width="31.81640625" bestFit="1" customWidth="1"/>
    <col min="3" max="3" width="9.81640625" bestFit="1" customWidth="1"/>
    <col min="4" max="4" width="13.81640625" customWidth="1"/>
    <col min="5" max="5" width="11.08984375" customWidth="1"/>
    <col min="6" max="8" width="11.453125" bestFit="1" customWidth="1"/>
  </cols>
  <sheetData>
    <row r="1" spans="1:8" ht="29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</row>
    <row r="2" spans="1:8">
      <c r="A2" s="2" t="s">
        <v>15</v>
      </c>
      <c r="B2" s="5">
        <v>1800000</v>
      </c>
      <c r="C2" s="2">
        <v>48</v>
      </c>
      <c r="D2" s="5">
        <v>86400000</v>
      </c>
      <c r="E2" s="5">
        <v>66000000</v>
      </c>
      <c r="F2" s="6"/>
      <c r="G2" s="6"/>
      <c r="H2" s="6"/>
    </row>
    <row r="3" spans="1:8">
      <c r="A3" s="2" t="s">
        <v>16</v>
      </c>
      <c r="B3" s="5">
        <v>1900000</v>
      </c>
      <c r="C3" s="2">
        <v>48</v>
      </c>
      <c r="D3" s="5">
        <v>91200000</v>
      </c>
      <c r="E3" s="5">
        <v>65000000</v>
      </c>
      <c r="F3" s="6"/>
    </row>
    <row r="4" spans="1:8">
      <c r="A4" s="2" t="s">
        <v>17</v>
      </c>
      <c r="B4" s="5">
        <v>2000000</v>
      </c>
      <c r="C4" s="2">
        <v>49</v>
      </c>
      <c r="D4" s="5">
        <v>98000000</v>
      </c>
      <c r="E4" s="5">
        <v>68000000</v>
      </c>
      <c r="F4" s="6"/>
    </row>
    <row r="5" spans="1:8">
      <c r="A5" s="2" t="s">
        <v>18</v>
      </c>
      <c r="B5" s="5">
        <v>2100000</v>
      </c>
      <c r="C5" s="2">
        <v>49</v>
      </c>
      <c r="D5" s="5">
        <v>102900000</v>
      </c>
      <c r="E5" s="5">
        <v>70000000</v>
      </c>
      <c r="F5" s="6"/>
    </row>
    <row r="6" spans="1:8">
      <c r="A6" s="2" t="s">
        <v>19</v>
      </c>
      <c r="B6" s="5">
        <v>2200000</v>
      </c>
      <c r="C6" s="2">
        <v>49</v>
      </c>
      <c r="D6" s="5">
        <v>107800000</v>
      </c>
      <c r="E6" s="5">
        <v>72000000</v>
      </c>
      <c r="F6" s="6"/>
    </row>
    <row r="7" spans="1:8">
      <c r="A7" s="2" t="s">
        <v>20</v>
      </c>
      <c r="B7" s="5">
        <v>2400000</v>
      </c>
      <c r="C7" s="2">
        <v>49</v>
      </c>
      <c r="D7" s="5">
        <v>117600000</v>
      </c>
      <c r="E7" s="5">
        <v>74000000</v>
      </c>
      <c r="F7" s="6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0C34-6EA8-47A4-B608-656A7D72B41D}">
  <sheetPr>
    <tabColor theme="9" tint="-0.249977111117893"/>
  </sheetPr>
  <dimension ref="B2:V54"/>
  <sheetViews>
    <sheetView showGridLines="0" tabSelected="1" topLeftCell="A40" zoomScale="58" zoomScaleNormal="58" workbookViewId="0">
      <selection activeCell="J57" sqref="J57"/>
    </sheetView>
  </sheetViews>
  <sheetFormatPr defaultColWidth="0" defaultRowHeight="14.5"/>
  <cols>
    <col min="1" max="1" width="8.7265625" customWidth="1"/>
    <col min="2" max="2" width="27.08984375" bestFit="1" customWidth="1"/>
    <col min="3" max="3" width="12" bestFit="1" customWidth="1"/>
    <col min="4" max="5" width="14.1796875" bestFit="1" customWidth="1"/>
    <col min="6" max="8" width="15.26953125" bestFit="1" customWidth="1"/>
    <col min="9" max="9" width="16.26953125" bestFit="1" customWidth="1"/>
    <col min="10" max="20" width="15.26953125" bestFit="1" customWidth="1"/>
    <col min="23" max="16384" width="8.7265625" hidden="1"/>
  </cols>
  <sheetData>
    <row r="2" spans="2:3">
      <c r="B2" s="16" t="s">
        <v>24</v>
      </c>
      <c r="C2" s="16"/>
    </row>
    <row r="3" spans="2:3">
      <c r="B3" s="15" t="s">
        <v>33</v>
      </c>
      <c r="C3" s="21">
        <v>0.08</v>
      </c>
    </row>
    <row r="4" spans="2:3">
      <c r="B4" s="15" t="s">
        <v>34</v>
      </c>
      <c r="C4" s="15">
        <v>49</v>
      </c>
    </row>
    <row r="5" spans="2:3">
      <c r="B5" s="15" t="s">
        <v>35</v>
      </c>
      <c r="C5" s="22">
        <v>0.05</v>
      </c>
    </row>
    <row r="7" spans="2:3">
      <c r="B7" s="16" t="s">
        <v>25</v>
      </c>
      <c r="C7" s="16"/>
    </row>
    <row r="8" spans="2:3">
      <c r="B8" s="15" t="s">
        <v>26</v>
      </c>
      <c r="C8" s="21">
        <v>0.12</v>
      </c>
    </row>
    <row r="9" spans="2:3">
      <c r="B9" s="15" t="s">
        <v>28</v>
      </c>
      <c r="C9" s="15">
        <v>52</v>
      </c>
    </row>
    <row r="10" spans="2:3">
      <c r="B10" s="15" t="s">
        <v>27</v>
      </c>
      <c r="C10" s="21">
        <v>0.1</v>
      </c>
    </row>
    <row r="12" spans="2:3">
      <c r="B12" s="16" t="s">
        <v>29</v>
      </c>
      <c r="C12" s="16"/>
    </row>
    <row r="13" spans="2:3">
      <c r="B13" s="15" t="s">
        <v>26</v>
      </c>
      <c r="C13" s="21">
        <v>0.04</v>
      </c>
    </row>
    <row r="14" spans="2:3">
      <c r="B14" s="15" t="s">
        <v>28</v>
      </c>
      <c r="C14" s="15">
        <v>47</v>
      </c>
    </row>
    <row r="15" spans="2:3">
      <c r="B15" s="15" t="s">
        <v>27</v>
      </c>
      <c r="C15" s="21">
        <v>0.1</v>
      </c>
    </row>
    <row r="16" spans="2:3">
      <c r="B16" s="23"/>
      <c r="C16" s="24"/>
    </row>
    <row r="17" spans="2:20">
      <c r="B17" s="23"/>
      <c r="C17" s="24"/>
    </row>
    <row r="18" spans="2:20">
      <c r="B18" s="23"/>
      <c r="C18" s="24"/>
    </row>
    <row r="19" spans="2:20" ht="15" thickBot="1">
      <c r="B19" s="23"/>
      <c r="C19" s="24"/>
    </row>
    <row r="20" spans="2:20">
      <c r="B20" s="18" t="s">
        <v>39</v>
      </c>
      <c r="C20" s="30" t="s">
        <v>30</v>
      </c>
      <c r="D20" s="30"/>
      <c r="E20" s="30"/>
      <c r="F20" s="30"/>
      <c r="G20" s="30"/>
      <c r="H20" s="30"/>
      <c r="I20" s="31" t="s">
        <v>31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2"/>
    </row>
    <row r="21" spans="2:20">
      <c r="B21" s="19" t="str">
        <f>B28</f>
        <v>Month</v>
      </c>
      <c r="C21" s="26">
        <v>45863</v>
      </c>
      <c r="D21" s="27">
        <v>45894</v>
      </c>
      <c r="E21" s="27">
        <v>45925</v>
      </c>
      <c r="F21" s="27">
        <v>45955</v>
      </c>
      <c r="G21" s="27">
        <v>45986</v>
      </c>
      <c r="H21" s="27">
        <v>46016</v>
      </c>
      <c r="I21" s="27">
        <v>46047</v>
      </c>
      <c r="J21" s="27">
        <v>46078</v>
      </c>
      <c r="K21" s="27">
        <v>46106</v>
      </c>
      <c r="L21" s="27">
        <v>46137</v>
      </c>
      <c r="M21" s="27">
        <v>46167</v>
      </c>
      <c r="N21" s="27">
        <v>46198</v>
      </c>
      <c r="O21" s="27">
        <v>46228</v>
      </c>
      <c r="P21" s="27">
        <v>46259</v>
      </c>
      <c r="Q21" s="27">
        <v>46290</v>
      </c>
      <c r="R21" s="27">
        <v>46320</v>
      </c>
      <c r="S21" s="27">
        <v>46351</v>
      </c>
      <c r="T21" s="33">
        <v>46381</v>
      </c>
    </row>
    <row r="22" spans="2:20">
      <c r="B22" s="28" t="str">
        <f t="shared" ref="B22:C25" si="0">B29</f>
        <v>Transactions (m)</v>
      </c>
      <c r="C22" s="29">
        <f>C29</f>
        <v>1800000</v>
      </c>
      <c r="D22" s="29">
        <f t="shared" ref="D22:H22" si="1">D29</f>
        <v>1900000</v>
      </c>
      <c r="E22" s="29">
        <f t="shared" si="1"/>
        <v>2000000</v>
      </c>
      <c r="F22" s="29">
        <f t="shared" si="1"/>
        <v>2100000</v>
      </c>
      <c r="G22" s="29">
        <f t="shared" si="1"/>
        <v>2200000</v>
      </c>
      <c r="H22" s="29">
        <f t="shared" si="1"/>
        <v>2400000</v>
      </c>
      <c r="I22" s="29">
        <f>CHOOSE('INCOME STATEMENT'!$C$3,FORECAST!I36,FORECAST!I43,FORECAST!I50)</f>
        <v>2592000</v>
      </c>
      <c r="J22" s="29">
        <f>CHOOSE('INCOME STATEMENT'!$C$3,FORECAST!J36,FORECAST!J43,FORECAST!J50)</f>
        <v>2799360</v>
      </c>
      <c r="K22" s="29">
        <f>CHOOSE('INCOME STATEMENT'!$C$3,FORECAST!K36,FORECAST!K43,FORECAST!K50)</f>
        <v>3023308.8000000003</v>
      </c>
      <c r="L22" s="29">
        <f>CHOOSE('INCOME STATEMENT'!$C$3,FORECAST!L36,FORECAST!L43,FORECAST!L50)</f>
        <v>3265173.5040000007</v>
      </c>
      <c r="M22" s="29">
        <f>CHOOSE('INCOME STATEMENT'!$C$3,FORECAST!M36,FORECAST!M43,FORECAST!M50)</f>
        <v>3526387.3843200011</v>
      </c>
      <c r="N22" s="29">
        <f>CHOOSE('INCOME STATEMENT'!$C$3,FORECAST!N36,FORECAST!N43,FORECAST!N50)</f>
        <v>3808498.3750656014</v>
      </c>
      <c r="O22" s="29">
        <f>CHOOSE('INCOME STATEMENT'!$C$3,FORECAST!O36,FORECAST!O43,FORECAST!O50)</f>
        <v>4113178.24507085</v>
      </c>
      <c r="P22" s="29">
        <f>CHOOSE('INCOME STATEMENT'!$C$3,FORECAST!P36,FORECAST!P43,FORECAST!P50)</f>
        <v>4442232.504676518</v>
      </c>
      <c r="Q22" s="29">
        <f>CHOOSE('INCOME STATEMENT'!$C$3,FORECAST!Q36,FORECAST!Q43,FORECAST!Q50)</f>
        <v>4797611.1050506402</v>
      </c>
      <c r="R22" s="29">
        <f>CHOOSE('INCOME STATEMENT'!$C$3,FORECAST!R36,FORECAST!R43,FORECAST!R50)</f>
        <v>5181419.993454692</v>
      </c>
      <c r="S22" s="29">
        <f>CHOOSE('INCOME STATEMENT'!$C$3,FORECAST!S36,FORECAST!S43,FORECAST!S50)</f>
        <v>5595933.5929310676</v>
      </c>
      <c r="T22" s="34">
        <f>CHOOSE('INCOME STATEMENT'!$C$3,FORECAST!T36,FORECAST!T43,FORECAST!T50)</f>
        <v>6043608.2803655537</v>
      </c>
    </row>
    <row r="23" spans="2:20">
      <c r="B23" s="28" t="str">
        <f t="shared" si="0"/>
        <v>Avg Fee (₦)</v>
      </c>
      <c r="C23" s="29">
        <f t="shared" si="0"/>
        <v>48</v>
      </c>
      <c r="D23" s="29">
        <f t="shared" ref="D23:H23" si="2">D30</f>
        <v>48</v>
      </c>
      <c r="E23" s="29">
        <f t="shared" si="2"/>
        <v>49</v>
      </c>
      <c r="F23" s="29">
        <f t="shared" si="2"/>
        <v>49</v>
      </c>
      <c r="G23" s="29">
        <f t="shared" si="2"/>
        <v>49</v>
      </c>
      <c r="H23" s="29">
        <f t="shared" si="2"/>
        <v>49</v>
      </c>
      <c r="I23" s="29">
        <f>CHOOSE('INCOME STATEMENT'!$C$3,FORECAST!I37,FORECAST!I44,FORECAST!I51)</f>
        <v>49</v>
      </c>
      <c r="J23" s="29">
        <f>CHOOSE('INCOME STATEMENT'!$C$3,FORECAST!J37,FORECAST!J44,FORECAST!J51)</f>
        <v>49</v>
      </c>
      <c r="K23" s="29">
        <f>CHOOSE('INCOME STATEMENT'!$C$3,FORECAST!K37,FORECAST!K44,FORECAST!K51)</f>
        <v>49</v>
      </c>
      <c r="L23" s="29">
        <f>CHOOSE('INCOME STATEMENT'!$C$3,FORECAST!L37,FORECAST!L44,FORECAST!L51)</f>
        <v>49</v>
      </c>
      <c r="M23" s="29">
        <f>CHOOSE('INCOME STATEMENT'!$C$3,FORECAST!M37,FORECAST!M44,FORECAST!M51)</f>
        <v>49</v>
      </c>
      <c r="N23" s="29">
        <f>CHOOSE('INCOME STATEMENT'!$C$3,FORECAST!N37,FORECAST!N44,FORECAST!N51)</f>
        <v>49</v>
      </c>
      <c r="O23" s="29">
        <f>CHOOSE('INCOME STATEMENT'!$C$3,FORECAST!O37,FORECAST!O44,FORECAST!O51)</f>
        <v>49</v>
      </c>
      <c r="P23" s="29">
        <f>CHOOSE('INCOME STATEMENT'!$C$3,FORECAST!P37,FORECAST!P44,FORECAST!P51)</f>
        <v>49</v>
      </c>
      <c r="Q23" s="29">
        <f>CHOOSE('INCOME STATEMENT'!$C$3,FORECAST!Q37,FORECAST!Q44,FORECAST!Q51)</f>
        <v>49</v>
      </c>
      <c r="R23" s="29">
        <f>CHOOSE('INCOME STATEMENT'!$C$3,FORECAST!R37,FORECAST!R44,FORECAST!R51)</f>
        <v>49</v>
      </c>
      <c r="S23" s="29">
        <f>CHOOSE('INCOME STATEMENT'!$C$3,FORECAST!S37,FORECAST!S44,FORECAST!S51)</f>
        <v>49</v>
      </c>
      <c r="T23" s="34">
        <f>CHOOSE('INCOME STATEMENT'!$C$3,FORECAST!T37,FORECAST!T44,FORECAST!T51)</f>
        <v>49</v>
      </c>
    </row>
    <row r="24" spans="2:20">
      <c r="B24" s="28" t="str">
        <f t="shared" si="0"/>
        <v>Actual Revenue</v>
      </c>
      <c r="C24" s="29">
        <f t="shared" si="0"/>
        <v>86400000</v>
      </c>
      <c r="D24" s="29">
        <f t="shared" ref="D24:H24" si="3">D31</f>
        <v>91200000</v>
      </c>
      <c r="E24" s="29">
        <f t="shared" si="3"/>
        <v>98000000</v>
      </c>
      <c r="F24" s="29">
        <f t="shared" si="3"/>
        <v>102900000</v>
      </c>
      <c r="G24" s="29">
        <f t="shared" si="3"/>
        <v>107800000</v>
      </c>
      <c r="H24" s="29">
        <f t="shared" si="3"/>
        <v>117600000</v>
      </c>
      <c r="I24" s="29">
        <f>CHOOSE('INCOME STATEMENT'!$C$3,FORECAST!I38,FORECAST!I45,FORECAST!I52)</f>
        <v>127008000</v>
      </c>
      <c r="J24" s="29">
        <f>CHOOSE('INCOME STATEMENT'!$C$3,FORECAST!J38,FORECAST!J45,FORECAST!J52)</f>
        <v>137168640</v>
      </c>
      <c r="K24" s="29">
        <f>CHOOSE('INCOME STATEMENT'!$C$3,FORECAST!K38,FORECAST!K45,FORECAST!K52)</f>
        <v>148142131.20000002</v>
      </c>
      <c r="L24" s="29">
        <f>CHOOSE('INCOME STATEMENT'!$C$3,FORECAST!L38,FORECAST!L45,FORECAST!L52)</f>
        <v>159993501.69600004</v>
      </c>
      <c r="M24" s="29">
        <f>CHOOSE('INCOME STATEMENT'!$C$3,FORECAST!M38,FORECAST!M45,FORECAST!M52)</f>
        <v>172792981.83168006</v>
      </c>
      <c r="N24" s="29">
        <f>CHOOSE('INCOME STATEMENT'!$C$3,FORECAST!N38,FORECAST!N45,FORECAST!N52)</f>
        <v>186616420.37821448</v>
      </c>
      <c r="O24" s="29">
        <f>CHOOSE('INCOME STATEMENT'!$C$3,FORECAST!O38,FORECAST!O45,FORECAST!O52)</f>
        <v>201545734.00847164</v>
      </c>
      <c r="P24" s="29">
        <f>CHOOSE('INCOME STATEMENT'!$C$3,FORECAST!P38,FORECAST!P45,FORECAST!P52)</f>
        <v>217669392.72914937</v>
      </c>
      <c r="Q24" s="29">
        <f>CHOOSE('INCOME STATEMENT'!$C$3,FORECAST!Q38,FORECAST!Q45,FORECAST!Q52)</f>
        <v>235082944.14748138</v>
      </c>
      <c r="R24" s="29">
        <f>CHOOSE('INCOME STATEMENT'!$C$3,FORECAST!R38,FORECAST!R45,FORECAST!R52)</f>
        <v>253889579.67927989</v>
      </c>
      <c r="S24" s="29">
        <f>CHOOSE('INCOME STATEMENT'!$C$3,FORECAST!S38,FORECAST!S45,FORECAST!S52)</f>
        <v>274200746.05362231</v>
      </c>
      <c r="T24" s="34">
        <f>CHOOSE('INCOME STATEMENT'!$C$3,FORECAST!T38,FORECAST!T45,FORECAST!T52)</f>
        <v>296136805.73791212</v>
      </c>
    </row>
    <row r="25" spans="2:20" ht="15" thickBot="1">
      <c r="B25" s="35" t="str">
        <f t="shared" si="0"/>
        <v>Actual Cost</v>
      </c>
      <c r="C25" s="36">
        <f t="shared" si="0"/>
        <v>66000000</v>
      </c>
      <c r="D25" s="36">
        <f t="shared" ref="D25:H25" si="4">D32</f>
        <v>65000000</v>
      </c>
      <c r="E25" s="36">
        <f t="shared" si="4"/>
        <v>68000000</v>
      </c>
      <c r="F25" s="36">
        <f t="shared" si="4"/>
        <v>70000000</v>
      </c>
      <c r="G25" s="36">
        <f t="shared" si="4"/>
        <v>72000000</v>
      </c>
      <c r="H25" s="36">
        <f t="shared" si="4"/>
        <v>74000000</v>
      </c>
      <c r="I25" s="36">
        <f>CHOOSE('INCOME STATEMENT'!$C$3,FORECAST!I39,FORECAST!I46,FORECAST!I53)</f>
        <v>77700000</v>
      </c>
      <c r="J25" s="36">
        <f>CHOOSE('INCOME STATEMENT'!$C$3,FORECAST!J39,FORECAST!J46,FORECAST!J53)</f>
        <v>81585000</v>
      </c>
      <c r="K25" s="36">
        <f>CHOOSE('INCOME STATEMENT'!$C$3,FORECAST!K39,FORECAST!K46,FORECAST!K53)</f>
        <v>85664250</v>
      </c>
      <c r="L25" s="36">
        <f>CHOOSE('INCOME STATEMENT'!$C$3,FORECAST!L39,FORECAST!L46,FORECAST!L53)</f>
        <v>89947462.5</v>
      </c>
      <c r="M25" s="36">
        <f>CHOOSE('INCOME STATEMENT'!$C$3,FORECAST!M39,FORECAST!M46,FORECAST!M53)</f>
        <v>94444835.625</v>
      </c>
      <c r="N25" s="36">
        <f>CHOOSE('INCOME STATEMENT'!$C$3,FORECAST!N39,FORECAST!N46,FORECAST!N53)</f>
        <v>99167077.40625</v>
      </c>
      <c r="O25" s="36">
        <f>CHOOSE('INCOME STATEMENT'!$C$3,FORECAST!O39,FORECAST!O46,FORECAST!O53)</f>
        <v>104125431.2765625</v>
      </c>
      <c r="P25" s="36">
        <f>CHOOSE('INCOME STATEMENT'!$C$3,FORECAST!P39,FORECAST!P46,FORECAST!P53)</f>
        <v>109331702.84039062</v>
      </c>
      <c r="Q25" s="36">
        <f>CHOOSE('INCOME STATEMENT'!$C$3,FORECAST!Q39,FORECAST!Q46,FORECAST!Q53)</f>
        <v>114798287.98241016</v>
      </c>
      <c r="R25" s="36">
        <f>CHOOSE('INCOME STATEMENT'!$C$3,FORECAST!R39,FORECAST!R46,FORECAST!R53)</f>
        <v>120538202.38153067</v>
      </c>
      <c r="S25" s="36">
        <f>CHOOSE('INCOME STATEMENT'!$C$3,FORECAST!S39,FORECAST!S46,FORECAST!S53)</f>
        <v>126565112.50060721</v>
      </c>
      <c r="T25" s="37">
        <f>CHOOSE('INCOME STATEMENT'!$C$3,FORECAST!T39,FORECAST!T46,FORECAST!T53)</f>
        <v>132893368.12563758</v>
      </c>
    </row>
    <row r="26" spans="2:20" ht="15" thickBot="1"/>
    <row r="27" spans="2:20">
      <c r="B27" s="38" t="s">
        <v>32</v>
      </c>
      <c r="C27" s="39" t="s">
        <v>30</v>
      </c>
      <c r="D27" s="39"/>
      <c r="E27" s="39"/>
      <c r="F27" s="39"/>
      <c r="G27" s="39"/>
      <c r="H27" s="39"/>
      <c r="I27" s="40" t="s">
        <v>31</v>
      </c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1"/>
    </row>
    <row r="28" spans="2:20">
      <c r="B28" s="42" t="str">
        <f>'ACTUAL RESULTS (JUL–DEC)'!A1</f>
        <v>Month</v>
      </c>
      <c r="C28" s="13">
        <v>45863</v>
      </c>
      <c r="D28" s="13">
        <v>45894</v>
      </c>
      <c r="E28" s="13">
        <v>45925</v>
      </c>
      <c r="F28" s="13">
        <v>45955</v>
      </c>
      <c r="G28" s="13">
        <v>45986</v>
      </c>
      <c r="H28" s="13">
        <v>46016</v>
      </c>
      <c r="I28" s="13">
        <v>46047</v>
      </c>
      <c r="J28" s="13">
        <v>46078</v>
      </c>
      <c r="K28" s="13">
        <v>46106</v>
      </c>
      <c r="L28" s="13">
        <v>46137</v>
      </c>
      <c r="M28" s="13">
        <v>46167</v>
      </c>
      <c r="N28" s="13">
        <v>46198</v>
      </c>
      <c r="O28" s="13">
        <v>46228</v>
      </c>
      <c r="P28" s="13">
        <v>46259</v>
      </c>
      <c r="Q28" s="13">
        <v>46290</v>
      </c>
      <c r="R28" s="13">
        <v>46320</v>
      </c>
      <c r="S28" s="13">
        <v>46351</v>
      </c>
      <c r="T28" s="43">
        <v>46381</v>
      </c>
    </row>
    <row r="29" spans="2:20">
      <c r="B29" s="42" t="str">
        <f>'ACTUAL RESULTS (JUL–DEC)'!B1</f>
        <v>Transactions (m)</v>
      </c>
      <c r="C29" s="29" cm="1">
        <f t="array" ref="C29:H29">TRANSPOSE('ACTUAL RESULTS (JUL–DEC)'!B2:B7)</f>
        <v>1800000</v>
      </c>
      <c r="D29" s="29">
        <v>1900000</v>
      </c>
      <c r="E29" s="29">
        <v>2000000</v>
      </c>
      <c r="F29" s="29">
        <v>2100000</v>
      </c>
      <c r="G29" s="29">
        <v>2200000</v>
      </c>
      <c r="H29" s="29">
        <v>2400000</v>
      </c>
      <c r="I29" s="29">
        <f>_xlfn.FORECAST.ETS(I$28,$C29:H29,$C$28:H$28)</f>
        <v>2478440.4771001427</v>
      </c>
      <c r="J29" s="29">
        <f>_xlfn.FORECAST.ETS(J$28,$C29:I29,$C$28:I$28)</f>
        <v>2592012.3361121705</v>
      </c>
      <c r="K29" s="29">
        <f>_xlfn.FORECAST.ETS(K$28,$C29:J29,$C$28:J$28)</f>
        <v>2708778.8795917607</v>
      </c>
      <c r="L29" s="29">
        <f>_xlfn.FORECAST.ETS(L$28,$C29:K29,$C$28:K$28)</f>
        <v>2825438.5203820425</v>
      </c>
      <c r="M29" s="29">
        <f>_xlfn.FORECAST.ETS(M$28,$C29:L29,$C$28:L$28)</f>
        <v>2942028.5376511547</v>
      </c>
      <c r="N29" s="29">
        <f>_xlfn.FORECAST.ETS(N$28,$C29:M29,$C$28:M$28)</f>
        <v>3058573.1120939585</v>
      </c>
      <c r="O29" s="29">
        <f>_xlfn.FORECAST.ETS(O$28,$C29:N29,$C$28:N$28)</f>
        <v>3175087.5345973559</v>
      </c>
      <c r="P29" s="29">
        <f>_xlfn.FORECAST.ETS(P$28,$C29:O29,$C$28:O$28)</f>
        <v>3291581.3741601543</v>
      </c>
      <c r="Q29" s="29">
        <f>_xlfn.FORECAST.ETS(Q$28,$C29:P29,$C$28:P$28)</f>
        <v>3408060.6099412744</v>
      </c>
      <c r="R29" s="29">
        <f>_xlfn.FORECAST.ETS(R$28,$C29:Q29,$C$28:Q$28)</f>
        <v>3524528.9955433286</v>
      </c>
      <c r="S29" s="29">
        <f>_xlfn.FORECAST.ETS(S$28,$C29:R29,$C$28:R$28)</f>
        <v>3640988.9109017015</v>
      </c>
      <c r="T29" s="34">
        <f>_xlfn.FORECAST.ETS(T$28,$C29:S29,$C$28:S$28)</f>
        <v>3757441.888152393</v>
      </c>
    </row>
    <row r="30" spans="2:20">
      <c r="B30" s="42" t="str">
        <f>'ACTUAL RESULTS (JUL–DEC)'!C1</f>
        <v>Avg Fee (₦)</v>
      </c>
      <c r="C30" s="29" cm="1">
        <f t="array" ref="C30:H30">TRANSPOSE('ACTUAL RESULTS (JUL–DEC)'!C2:C7)</f>
        <v>48</v>
      </c>
      <c r="D30" s="29">
        <v>48</v>
      </c>
      <c r="E30" s="29">
        <v>49</v>
      </c>
      <c r="F30" s="29">
        <v>49</v>
      </c>
      <c r="G30" s="29">
        <v>49</v>
      </c>
      <c r="H30" s="29">
        <v>49</v>
      </c>
      <c r="I30" s="29">
        <f>_xlfn.FORECAST.ETS(I$28,$C30:H30,$C$28:H$28)</f>
        <v>49.31399148273843</v>
      </c>
      <c r="J30" s="29">
        <f>_xlfn.FORECAST.ETS(J$28,$C30:I30,$C$28:I$28)</f>
        <v>49.550519561491804</v>
      </c>
      <c r="K30" s="29">
        <f>_xlfn.FORECAST.ETS(K$28,$C30:J30,$C$28:J$28)</f>
        <v>49.73637255877258</v>
      </c>
      <c r="L30" s="29">
        <f>_xlfn.FORECAST.ETS(L$28,$C30:K30,$C$28:K$28)</f>
        <v>49.933329158091261</v>
      </c>
      <c r="M30" s="29">
        <f>_xlfn.FORECAST.ETS(M$28,$C30:L30,$C$28:L$28)</f>
        <v>50.124899131011233</v>
      </c>
      <c r="N30" s="29">
        <f>_xlfn.FORECAST.ETS(N$28,$C30:M30,$C$28:M$28)</f>
        <v>50.317179800557625</v>
      </c>
      <c r="O30" s="29">
        <f>_xlfn.FORECAST.ETS(O$28,$C30:N30,$C$28:N$28)</f>
        <v>50.52629813985601</v>
      </c>
      <c r="P30" s="29">
        <f>_xlfn.FORECAST.ETS(P$28,$C30:O30,$C$28:O$28)</f>
        <v>50.723862152637452</v>
      </c>
      <c r="Q30" s="29">
        <f>_xlfn.FORECAST.ETS(Q$28,$C30:P30,$C$28:P$28)</f>
        <v>50.921542542179125</v>
      </c>
      <c r="R30" s="29">
        <f>_xlfn.FORECAST.ETS(R$28,$C30:Q30,$C$28:Q$28)</f>
        <v>51.119305437817701</v>
      </c>
      <c r="S30" s="29">
        <f>_xlfn.FORECAST.ETS(S$28,$C30:R30,$C$28:R$28)</f>
        <v>51.317129750990972</v>
      </c>
      <c r="T30" s="34">
        <f>_xlfn.FORECAST.ETS(T$28,$C30:S30,$C$28:S$28)</f>
        <v>51.515002245056344</v>
      </c>
    </row>
    <row r="31" spans="2:20">
      <c r="B31" s="42" t="str">
        <f>'ACTUAL RESULTS (JUL–DEC)'!D1</f>
        <v>Actual Revenue</v>
      </c>
      <c r="C31" s="29" cm="1">
        <f t="array" ref="C31:H31">TRANSPOSE('ACTUAL RESULTS (JUL–DEC)'!D2:D7)</f>
        <v>86400000</v>
      </c>
      <c r="D31" s="29">
        <v>91200000</v>
      </c>
      <c r="E31" s="29">
        <v>98000000</v>
      </c>
      <c r="F31" s="29">
        <v>102900000</v>
      </c>
      <c r="G31" s="29">
        <v>107800000</v>
      </c>
      <c r="H31" s="29">
        <v>117600000</v>
      </c>
      <c r="I31" s="29">
        <f>I29*I30</f>
        <v>122221792.57819061</v>
      </c>
      <c r="J31" s="29">
        <f t="shared" ref="J31:T31" si="5">J29*J30</f>
        <v>128435557.96415417</v>
      </c>
      <c r="K31" s="29">
        <f t="shared" si="5"/>
        <v>134724835.53471038</v>
      </c>
      <c r="L31" s="29">
        <f t="shared" si="5"/>
        <v>141083551.65418687</v>
      </c>
      <c r="M31" s="29">
        <f t="shared" si="5"/>
        <v>147468883.69032061</v>
      </c>
      <c r="N31" s="29">
        <f t="shared" si="5"/>
        <v>153898773.2143828</v>
      </c>
      <c r="O31" s="29">
        <f t="shared" si="5"/>
        <v>160425419.39320639</v>
      </c>
      <c r="P31" s="29">
        <f t="shared" si="5"/>
        <v>166961719.88708863</v>
      </c>
      <c r="Q31" s="29">
        <f t="shared" si="5"/>
        <v>173543703.33544955</v>
      </c>
      <c r="R31" s="29">
        <f t="shared" si="5"/>
        <v>180171474.24762425</v>
      </c>
      <c r="S31" s="29">
        <f t="shared" si="5"/>
        <v>186845100.36266193</v>
      </c>
      <c r="T31" s="34">
        <f t="shared" si="5"/>
        <v>193564627.30383927</v>
      </c>
    </row>
    <row r="32" spans="2:20" ht="15" thickBot="1">
      <c r="B32" s="44" t="str">
        <f>'ACTUAL RESULTS (JUL–DEC)'!E1</f>
        <v>Actual Cost</v>
      </c>
      <c r="C32" s="36" cm="1">
        <f t="array" ref="C32:H32">TRANSPOSE('ACTUAL RESULTS (JUL–DEC)'!E2:E7)</f>
        <v>66000000</v>
      </c>
      <c r="D32" s="36">
        <v>65000000</v>
      </c>
      <c r="E32" s="36">
        <v>68000000</v>
      </c>
      <c r="F32" s="36">
        <v>70000000</v>
      </c>
      <c r="G32" s="36">
        <v>72000000</v>
      </c>
      <c r="H32" s="36">
        <v>74000000</v>
      </c>
      <c r="I32" s="36">
        <f>_xlfn.FORECAST.ETS(I$28,$C32:H32,$C$28:H$28)</f>
        <v>75919749.038475111</v>
      </c>
      <c r="J32" s="36">
        <f>_xlfn.FORECAST.ETS(J$28,$C32:I32,$C$28:I$28)</f>
        <v>77669695.329009235</v>
      </c>
      <c r="K32" s="36">
        <f>_xlfn.FORECAST.ETS(K$28,$C32:J32,$C$28:J$28)</f>
        <v>79539419.516645253</v>
      </c>
      <c r="L32" s="36">
        <f>_xlfn.FORECAST.ETS(L$28,$C32:K32,$C$28:K$28)</f>
        <v>81409583.696267188</v>
      </c>
      <c r="M32" s="36">
        <f>_xlfn.FORECAST.ETS(M$28,$C32:L32,$C$28:L$28)</f>
        <v>83280217.794762045</v>
      </c>
      <c r="N32" s="36">
        <f>_xlfn.FORECAST.ETS(N$28,$C32:M32,$C$28:M$28)</f>
        <v>85151189.086791873</v>
      </c>
      <c r="O32" s="36">
        <f>_xlfn.FORECAST.ETS(O$28,$C32:N32,$C$28:N$28)</f>
        <v>87022358.466699556</v>
      </c>
      <c r="P32" s="36">
        <f>_xlfn.FORECAST.ETS(P$28,$C32:O32,$C$28:O$28)</f>
        <v>88893616.45081377</v>
      </c>
      <c r="Q32" s="36">
        <f>_xlfn.FORECAST.ETS(Q$28,$C32:P32,$C$28:P$28)</f>
        <v>90764884.822254449</v>
      </c>
      <c r="R32" s="36">
        <f>_xlfn.FORECAST.ETS(R$28,$C32:Q32,$C$28:Q$28)</f>
        <v>92636110.240417898</v>
      </c>
      <c r="S32" s="36">
        <f>_xlfn.FORECAST.ETS(S$28,$C32:R32,$C$28:R$28)</f>
        <v>94507257.422973603</v>
      </c>
      <c r="T32" s="37">
        <f>_xlfn.FORECAST.ETS(T$28,$C32:S32,$C$28:S$28)</f>
        <v>96378303.706029221</v>
      </c>
    </row>
    <row r="33" spans="2:20" ht="15" thickBot="1"/>
    <row r="34" spans="2:20">
      <c r="B34" s="46" t="s">
        <v>24</v>
      </c>
      <c r="C34" s="39" t="s">
        <v>30</v>
      </c>
      <c r="D34" s="39"/>
      <c r="E34" s="39"/>
      <c r="F34" s="39"/>
      <c r="G34" s="39"/>
      <c r="H34" s="39"/>
      <c r="I34" s="40" t="s">
        <v>31</v>
      </c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1"/>
    </row>
    <row r="35" spans="2:20">
      <c r="B35" s="42" t="str">
        <f>B28</f>
        <v>Month</v>
      </c>
      <c r="C35" s="12">
        <f>C28</f>
        <v>45863</v>
      </c>
      <c r="D35" s="12">
        <f>D28</f>
        <v>45894</v>
      </c>
      <c r="E35" s="12">
        <f>E28</f>
        <v>45925</v>
      </c>
      <c r="F35" s="12">
        <f>F28</f>
        <v>45955</v>
      </c>
      <c r="G35" s="12">
        <f>G28</f>
        <v>45986</v>
      </c>
      <c r="H35" s="12">
        <f>H28</f>
        <v>46016</v>
      </c>
      <c r="I35" s="12">
        <f>I28</f>
        <v>46047</v>
      </c>
      <c r="J35" s="12">
        <f>J28</f>
        <v>46078</v>
      </c>
      <c r="K35" s="12">
        <f>K28</f>
        <v>46106</v>
      </c>
      <c r="L35" s="12">
        <f>L28</f>
        <v>46137</v>
      </c>
      <c r="M35" s="12">
        <f>M28</f>
        <v>46167</v>
      </c>
      <c r="N35" s="12">
        <f>N28</f>
        <v>46198</v>
      </c>
      <c r="O35" s="12">
        <f>O28</f>
        <v>46228</v>
      </c>
      <c r="P35" s="12">
        <f>P28</f>
        <v>46259</v>
      </c>
      <c r="Q35" s="12">
        <f>Q28</f>
        <v>46290</v>
      </c>
      <c r="R35" s="12">
        <f>R28</f>
        <v>46320</v>
      </c>
      <c r="S35" s="12">
        <f>S28</f>
        <v>46351</v>
      </c>
      <c r="T35" s="47">
        <f>T28</f>
        <v>46381</v>
      </c>
    </row>
    <row r="36" spans="2:20">
      <c r="B36" s="42" t="str">
        <f>B29</f>
        <v>Transactions (m)</v>
      </c>
      <c r="C36" s="45">
        <f>C29</f>
        <v>1800000</v>
      </c>
      <c r="D36" s="45">
        <f>D29</f>
        <v>1900000</v>
      </c>
      <c r="E36" s="45">
        <f>E29</f>
        <v>2000000</v>
      </c>
      <c r="F36" s="45">
        <f>F29</f>
        <v>2100000</v>
      </c>
      <c r="G36" s="45">
        <f>G29</f>
        <v>2200000</v>
      </c>
      <c r="H36" s="45">
        <f>H29</f>
        <v>2400000</v>
      </c>
      <c r="I36" s="45">
        <f>H36*(1+$C$3)</f>
        <v>2592000</v>
      </c>
      <c r="J36" s="45">
        <f>I36*(1+$C$3)</f>
        <v>2799360</v>
      </c>
      <c r="K36" s="45">
        <f t="shared" ref="K36:T36" si="6">J36*(1+$C$3)</f>
        <v>3023308.8000000003</v>
      </c>
      <c r="L36" s="45">
        <f>K36*(1+$C$3)</f>
        <v>3265173.5040000007</v>
      </c>
      <c r="M36" s="45">
        <f t="shared" si="6"/>
        <v>3526387.3843200011</v>
      </c>
      <c r="N36" s="45">
        <f t="shared" si="6"/>
        <v>3808498.3750656014</v>
      </c>
      <c r="O36" s="45">
        <f t="shared" si="6"/>
        <v>4113178.24507085</v>
      </c>
      <c r="P36" s="45">
        <f t="shared" si="6"/>
        <v>4442232.504676518</v>
      </c>
      <c r="Q36" s="45">
        <f t="shared" si="6"/>
        <v>4797611.1050506402</v>
      </c>
      <c r="R36" s="45">
        <f t="shared" si="6"/>
        <v>5181419.993454692</v>
      </c>
      <c r="S36" s="45">
        <f t="shared" si="6"/>
        <v>5595933.5929310676</v>
      </c>
      <c r="T36" s="48">
        <f t="shared" si="6"/>
        <v>6043608.2803655537</v>
      </c>
    </row>
    <row r="37" spans="2:20">
      <c r="B37" s="42" t="str">
        <f>B30</f>
        <v>Avg Fee (₦)</v>
      </c>
      <c r="C37" s="45">
        <f>C30</f>
        <v>48</v>
      </c>
      <c r="D37" s="45">
        <f>D30</f>
        <v>48</v>
      </c>
      <c r="E37" s="45">
        <f>E30</f>
        <v>49</v>
      </c>
      <c r="F37" s="45">
        <f>F30</f>
        <v>49</v>
      </c>
      <c r="G37" s="45">
        <f>G30</f>
        <v>49</v>
      </c>
      <c r="H37" s="45">
        <f>H30</f>
        <v>49</v>
      </c>
      <c r="I37" s="45">
        <f>$C$4</f>
        <v>49</v>
      </c>
      <c r="J37" s="45">
        <f t="shared" ref="J37:T37" si="7">$C$4</f>
        <v>49</v>
      </c>
      <c r="K37" s="45">
        <f t="shared" si="7"/>
        <v>49</v>
      </c>
      <c r="L37" s="45">
        <f t="shared" si="7"/>
        <v>49</v>
      </c>
      <c r="M37" s="45">
        <f t="shared" si="7"/>
        <v>49</v>
      </c>
      <c r="N37" s="45">
        <f t="shared" si="7"/>
        <v>49</v>
      </c>
      <c r="O37" s="45">
        <f t="shared" si="7"/>
        <v>49</v>
      </c>
      <c r="P37" s="45">
        <f t="shared" si="7"/>
        <v>49</v>
      </c>
      <c r="Q37" s="45">
        <f t="shared" si="7"/>
        <v>49</v>
      </c>
      <c r="R37" s="45">
        <f t="shared" si="7"/>
        <v>49</v>
      </c>
      <c r="S37" s="45">
        <f t="shared" si="7"/>
        <v>49</v>
      </c>
      <c r="T37" s="48">
        <f t="shared" si="7"/>
        <v>49</v>
      </c>
    </row>
    <row r="38" spans="2:20">
      <c r="B38" s="42" t="str">
        <f>B31</f>
        <v>Actual Revenue</v>
      </c>
      <c r="C38" s="45">
        <f>C31</f>
        <v>86400000</v>
      </c>
      <c r="D38" s="45">
        <f>D31</f>
        <v>91200000</v>
      </c>
      <c r="E38" s="45">
        <f>E31</f>
        <v>98000000</v>
      </c>
      <c r="F38" s="45">
        <f>F31</f>
        <v>102900000</v>
      </c>
      <c r="G38" s="45">
        <f>G31</f>
        <v>107800000</v>
      </c>
      <c r="H38" s="45">
        <f>H31</f>
        <v>117600000</v>
      </c>
      <c r="I38" s="45">
        <f>I36*I37</f>
        <v>127008000</v>
      </c>
      <c r="J38" s="45">
        <f t="shared" ref="J38:T38" si="8">J36*J37</f>
        <v>137168640</v>
      </c>
      <c r="K38" s="45">
        <f t="shared" si="8"/>
        <v>148142131.20000002</v>
      </c>
      <c r="L38" s="45">
        <f t="shared" si="8"/>
        <v>159993501.69600004</v>
      </c>
      <c r="M38" s="45">
        <f t="shared" si="8"/>
        <v>172792981.83168006</v>
      </c>
      <c r="N38" s="45">
        <f t="shared" si="8"/>
        <v>186616420.37821448</v>
      </c>
      <c r="O38" s="45">
        <f t="shared" si="8"/>
        <v>201545734.00847164</v>
      </c>
      <c r="P38" s="45">
        <f t="shared" si="8"/>
        <v>217669392.72914937</v>
      </c>
      <c r="Q38" s="45">
        <f t="shared" si="8"/>
        <v>235082944.14748138</v>
      </c>
      <c r="R38" s="45">
        <f t="shared" si="8"/>
        <v>253889579.67927989</v>
      </c>
      <c r="S38" s="45">
        <f t="shared" si="8"/>
        <v>274200746.05362231</v>
      </c>
      <c r="T38" s="48">
        <f t="shared" si="8"/>
        <v>296136805.73791212</v>
      </c>
    </row>
    <row r="39" spans="2:20" ht="15" thickBot="1">
      <c r="B39" s="44" t="str">
        <f>B32</f>
        <v>Actual Cost</v>
      </c>
      <c r="C39" s="49">
        <f>C32</f>
        <v>66000000</v>
      </c>
      <c r="D39" s="49">
        <f>D32</f>
        <v>65000000</v>
      </c>
      <c r="E39" s="49">
        <f>E32</f>
        <v>68000000</v>
      </c>
      <c r="F39" s="49">
        <f>F32</f>
        <v>70000000</v>
      </c>
      <c r="G39" s="49">
        <f>G32</f>
        <v>72000000</v>
      </c>
      <c r="H39" s="49">
        <f>H32</f>
        <v>74000000</v>
      </c>
      <c r="I39" s="49">
        <f>H39*(1+$C$5)</f>
        <v>77700000</v>
      </c>
      <c r="J39" s="49">
        <f t="shared" ref="J39:T39" si="9">I39*(1+$C$5)</f>
        <v>81585000</v>
      </c>
      <c r="K39" s="49">
        <f t="shared" si="9"/>
        <v>85664250</v>
      </c>
      <c r="L39" s="49">
        <f>K39*(1+$C$5)</f>
        <v>89947462.5</v>
      </c>
      <c r="M39" s="49">
        <f t="shared" si="9"/>
        <v>94444835.625</v>
      </c>
      <c r="N39" s="49">
        <f t="shared" si="9"/>
        <v>99167077.40625</v>
      </c>
      <c r="O39" s="49">
        <f t="shared" si="9"/>
        <v>104125431.2765625</v>
      </c>
      <c r="P39" s="49">
        <f>O39*(1+$C$5)</f>
        <v>109331702.84039062</v>
      </c>
      <c r="Q39" s="49">
        <f t="shared" si="9"/>
        <v>114798287.98241016</v>
      </c>
      <c r="R39" s="49">
        <f t="shared" si="9"/>
        <v>120538202.38153067</v>
      </c>
      <c r="S39" s="49">
        <f t="shared" si="9"/>
        <v>126565112.50060721</v>
      </c>
      <c r="T39" s="50">
        <f t="shared" si="9"/>
        <v>132893368.12563758</v>
      </c>
    </row>
    <row r="40" spans="2:20" ht="15" thickBot="1"/>
    <row r="41" spans="2:20">
      <c r="B41" s="46" t="s">
        <v>25</v>
      </c>
      <c r="C41" s="39" t="s">
        <v>30</v>
      </c>
      <c r="D41" s="39"/>
      <c r="E41" s="39"/>
      <c r="F41" s="39"/>
      <c r="G41" s="39"/>
      <c r="H41" s="39"/>
      <c r="I41" s="40" t="s">
        <v>31</v>
      </c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1"/>
    </row>
    <row r="42" spans="2:20">
      <c r="B42" s="42" t="str">
        <f>B35</f>
        <v>Month</v>
      </c>
      <c r="C42" s="14">
        <f>C28</f>
        <v>45863</v>
      </c>
      <c r="D42" s="14">
        <f t="shared" ref="D42:T42" si="10">D28</f>
        <v>45894</v>
      </c>
      <c r="E42" s="14">
        <f t="shared" si="10"/>
        <v>45925</v>
      </c>
      <c r="F42" s="14">
        <f t="shared" si="10"/>
        <v>45955</v>
      </c>
      <c r="G42" s="14">
        <f t="shared" si="10"/>
        <v>45986</v>
      </c>
      <c r="H42" s="14">
        <f t="shared" si="10"/>
        <v>46016</v>
      </c>
      <c r="I42" s="14">
        <f t="shared" si="10"/>
        <v>46047</v>
      </c>
      <c r="J42" s="14">
        <f t="shared" si="10"/>
        <v>46078</v>
      </c>
      <c r="K42" s="14">
        <f t="shared" si="10"/>
        <v>46106</v>
      </c>
      <c r="L42" s="14">
        <f t="shared" si="10"/>
        <v>46137</v>
      </c>
      <c r="M42" s="14">
        <f t="shared" si="10"/>
        <v>46167</v>
      </c>
      <c r="N42" s="14">
        <f t="shared" si="10"/>
        <v>46198</v>
      </c>
      <c r="O42" s="14">
        <f t="shared" si="10"/>
        <v>46228</v>
      </c>
      <c r="P42" s="14">
        <f t="shared" si="10"/>
        <v>46259</v>
      </c>
      <c r="Q42" s="14">
        <f t="shared" si="10"/>
        <v>46290</v>
      </c>
      <c r="R42" s="14">
        <f t="shared" si="10"/>
        <v>46320</v>
      </c>
      <c r="S42" s="14">
        <f t="shared" si="10"/>
        <v>46351</v>
      </c>
      <c r="T42" s="51">
        <f t="shared" si="10"/>
        <v>46381</v>
      </c>
    </row>
    <row r="43" spans="2:20">
      <c r="B43" s="42" t="str">
        <f t="shared" ref="B43:B46" si="11">B36</f>
        <v>Transactions (m)</v>
      </c>
      <c r="C43" s="45">
        <f>C29</f>
        <v>1800000</v>
      </c>
      <c r="D43" s="45">
        <f t="shared" ref="D43:H43" si="12">D29</f>
        <v>1900000</v>
      </c>
      <c r="E43" s="45">
        <f t="shared" si="12"/>
        <v>2000000</v>
      </c>
      <c r="F43" s="45">
        <f t="shared" si="12"/>
        <v>2100000</v>
      </c>
      <c r="G43" s="45">
        <f t="shared" si="12"/>
        <v>2200000</v>
      </c>
      <c r="H43" s="45">
        <f t="shared" si="12"/>
        <v>2400000</v>
      </c>
      <c r="I43" s="45">
        <f>H43*(1+$C$8)</f>
        <v>2688000.0000000005</v>
      </c>
      <c r="J43" s="45">
        <f t="shared" ref="J43:T43" si="13">I43*(1+$C$8)</f>
        <v>3010560.0000000009</v>
      </c>
      <c r="K43" s="45">
        <f t="shared" si="13"/>
        <v>3371827.2000000016</v>
      </c>
      <c r="L43" s="45">
        <f t="shared" si="13"/>
        <v>3776446.464000002</v>
      </c>
      <c r="M43" s="45">
        <f t="shared" si="13"/>
        <v>4229620.0396800023</v>
      </c>
      <c r="N43" s="45">
        <f t="shared" si="13"/>
        <v>4737174.4444416026</v>
      </c>
      <c r="O43" s="45">
        <f t="shared" si="13"/>
        <v>5305635.3777745953</v>
      </c>
      <c r="P43" s="45">
        <f t="shared" si="13"/>
        <v>5942311.6231075469</v>
      </c>
      <c r="Q43" s="45">
        <f t="shared" si="13"/>
        <v>6655389.0178804528</v>
      </c>
      <c r="R43" s="45">
        <f t="shared" si="13"/>
        <v>7454035.700026108</v>
      </c>
      <c r="S43" s="45">
        <f t="shared" si="13"/>
        <v>8348519.9840292418</v>
      </c>
      <c r="T43" s="48">
        <f t="shared" si="13"/>
        <v>9350342.3821127526</v>
      </c>
    </row>
    <row r="44" spans="2:20">
      <c r="B44" s="42" t="str">
        <f t="shared" si="11"/>
        <v>Avg Fee (₦)</v>
      </c>
      <c r="C44" s="45">
        <f t="shared" ref="C44:H46" si="14">C30</f>
        <v>48</v>
      </c>
      <c r="D44" s="45">
        <f t="shared" si="14"/>
        <v>48</v>
      </c>
      <c r="E44" s="45">
        <f t="shared" si="14"/>
        <v>49</v>
      </c>
      <c r="F44" s="45">
        <f t="shared" si="14"/>
        <v>49</v>
      </c>
      <c r="G44" s="45">
        <f t="shared" si="14"/>
        <v>49</v>
      </c>
      <c r="H44" s="45">
        <f t="shared" si="14"/>
        <v>49</v>
      </c>
      <c r="I44" s="7">
        <f>$C$9</f>
        <v>52</v>
      </c>
      <c r="J44" s="7">
        <f t="shared" ref="J44:T44" si="15">$C$9</f>
        <v>52</v>
      </c>
      <c r="K44" s="7">
        <f t="shared" si="15"/>
        <v>52</v>
      </c>
      <c r="L44" s="7">
        <f t="shared" si="15"/>
        <v>52</v>
      </c>
      <c r="M44" s="7">
        <f t="shared" si="15"/>
        <v>52</v>
      </c>
      <c r="N44" s="7">
        <f t="shared" si="15"/>
        <v>52</v>
      </c>
      <c r="O44" s="7">
        <f t="shared" si="15"/>
        <v>52</v>
      </c>
      <c r="P44" s="7">
        <f t="shared" si="15"/>
        <v>52</v>
      </c>
      <c r="Q44" s="7">
        <f t="shared" si="15"/>
        <v>52</v>
      </c>
      <c r="R44" s="7">
        <f t="shared" si="15"/>
        <v>52</v>
      </c>
      <c r="S44" s="7">
        <f t="shared" si="15"/>
        <v>52</v>
      </c>
      <c r="T44" s="52">
        <f t="shared" si="15"/>
        <v>52</v>
      </c>
    </row>
    <row r="45" spans="2:20">
      <c r="B45" s="42" t="str">
        <f t="shared" si="11"/>
        <v>Actual Revenue</v>
      </c>
      <c r="C45" s="45">
        <f t="shared" si="14"/>
        <v>86400000</v>
      </c>
      <c r="D45" s="45">
        <f t="shared" si="14"/>
        <v>91200000</v>
      </c>
      <c r="E45" s="45">
        <f t="shared" si="14"/>
        <v>98000000</v>
      </c>
      <c r="F45" s="45">
        <f t="shared" si="14"/>
        <v>102900000</v>
      </c>
      <c r="G45" s="45">
        <f t="shared" si="14"/>
        <v>107800000</v>
      </c>
      <c r="H45" s="45">
        <f t="shared" si="14"/>
        <v>117600000</v>
      </c>
      <c r="I45" s="45">
        <f>I43*I44</f>
        <v>139776000.00000003</v>
      </c>
      <c r="J45" s="45">
        <f t="shared" ref="J45:T45" si="16">J43*J44</f>
        <v>156549120.00000006</v>
      </c>
      <c r="K45" s="45">
        <f t="shared" si="16"/>
        <v>175335014.4000001</v>
      </c>
      <c r="L45" s="45">
        <f t="shared" si="16"/>
        <v>196375216.12800011</v>
      </c>
      <c r="M45" s="45">
        <f t="shared" si="16"/>
        <v>219940242.06336012</v>
      </c>
      <c r="N45" s="45">
        <f t="shared" si="16"/>
        <v>246333071.11096334</v>
      </c>
      <c r="O45" s="45">
        <f t="shared" si="16"/>
        <v>275893039.64427894</v>
      </c>
      <c r="P45" s="45">
        <f t="shared" si="16"/>
        <v>309000204.40159243</v>
      </c>
      <c r="Q45" s="45">
        <f t="shared" si="16"/>
        <v>346080228.92978352</v>
      </c>
      <c r="R45" s="45">
        <f t="shared" si="16"/>
        <v>387609856.40135759</v>
      </c>
      <c r="S45" s="45">
        <f t="shared" si="16"/>
        <v>434123039.16952056</v>
      </c>
      <c r="T45" s="48">
        <f t="shared" si="16"/>
        <v>486217803.86986315</v>
      </c>
    </row>
    <row r="46" spans="2:20" ht="15" thickBot="1">
      <c r="B46" s="44" t="str">
        <f t="shared" si="11"/>
        <v>Actual Cost</v>
      </c>
      <c r="C46" s="49">
        <f t="shared" si="14"/>
        <v>66000000</v>
      </c>
      <c r="D46" s="49">
        <f t="shared" si="14"/>
        <v>65000000</v>
      </c>
      <c r="E46" s="49">
        <f t="shared" si="14"/>
        <v>68000000</v>
      </c>
      <c r="F46" s="49">
        <f t="shared" si="14"/>
        <v>70000000</v>
      </c>
      <c r="G46" s="49">
        <f t="shared" si="14"/>
        <v>72000000</v>
      </c>
      <c r="H46" s="49">
        <f t="shared" si="14"/>
        <v>74000000</v>
      </c>
      <c r="I46" s="49">
        <f>H46*(1+$C$10)</f>
        <v>81400000</v>
      </c>
      <c r="J46" s="49">
        <f t="shared" ref="J46:T46" si="17">I46*(1+$C$10)</f>
        <v>89540000</v>
      </c>
      <c r="K46" s="49">
        <f t="shared" si="17"/>
        <v>98494000.000000015</v>
      </c>
      <c r="L46" s="49">
        <f t="shared" si="17"/>
        <v>108343400.00000003</v>
      </c>
      <c r="M46" s="49">
        <f t="shared" si="17"/>
        <v>119177740.00000004</v>
      </c>
      <c r="N46" s="49">
        <f t="shared" si="17"/>
        <v>131095514.00000006</v>
      </c>
      <c r="O46" s="49">
        <f t="shared" si="17"/>
        <v>144205065.40000007</v>
      </c>
      <c r="P46" s="49">
        <f>O46*(1+$C$10)</f>
        <v>158625571.94000009</v>
      </c>
      <c r="Q46" s="49">
        <f t="shared" si="17"/>
        <v>174488129.13400012</v>
      </c>
      <c r="R46" s="49">
        <f t="shared" si="17"/>
        <v>191936942.04740015</v>
      </c>
      <c r="S46" s="49">
        <f t="shared" si="17"/>
        <v>211130636.25214016</v>
      </c>
      <c r="T46" s="50">
        <f t="shared" si="17"/>
        <v>232243699.8773542</v>
      </c>
    </row>
    <row r="47" spans="2:20" ht="15" thickBot="1"/>
    <row r="48" spans="2:20">
      <c r="B48" s="46" t="s">
        <v>29</v>
      </c>
      <c r="C48" s="39" t="s">
        <v>30</v>
      </c>
      <c r="D48" s="39"/>
      <c r="E48" s="39"/>
      <c r="F48" s="39"/>
      <c r="G48" s="39"/>
      <c r="H48" s="39"/>
      <c r="I48" s="40" t="s">
        <v>31</v>
      </c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1"/>
    </row>
    <row r="49" spans="2:20">
      <c r="B49" s="42" t="str">
        <f>B28</f>
        <v>Month</v>
      </c>
      <c r="C49" s="14">
        <f>C28</f>
        <v>45863</v>
      </c>
      <c r="D49" s="14">
        <f t="shared" ref="D49:T49" si="18">D28</f>
        <v>45894</v>
      </c>
      <c r="E49" s="14">
        <f t="shared" si="18"/>
        <v>45925</v>
      </c>
      <c r="F49" s="14">
        <f t="shared" si="18"/>
        <v>45955</v>
      </c>
      <c r="G49" s="14">
        <f t="shared" si="18"/>
        <v>45986</v>
      </c>
      <c r="H49" s="14">
        <f t="shared" si="18"/>
        <v>46016</v>
      </c>
      <c r="I49" s="14">
        <f>I28</f>
        <v>46047</v>
      </c>
      <c r="J49" s="14">
        <f t="shared" si="18"/>
        <v>46078</v>
      </c>
      <c r="K49" s="14">
        <f t="shared" si="18"/>
        <v>46106</v>
      </c>
      <c r="L49" s="14">
        <f t="shared" si="18"/>
        <v>46137</v>
      </c>
      <c r="M49" s="14">
        <f t="shared" si="18"/>
        <v>46167</v>
      </c>
      <c r="N49" s="14">
        <f t="shared" si="18"/>
        <v>46198</v>
      </c>
      <c r="O49" s="14">
        <f t="shared" si="18"/>
        <v>46228</v>
      </c>
      <c r="P49" s="14">
        <f t="shared" si="18"/>
        <v>46259</v>
      </c>
      <c r="Q49" s="14">
        <f t="shared" si="18"/>
        <v>46290</v>
      </c>
      <c r="R49" s="14">
        <f t="shared" si="18"/>
        <v>46320</v>
      </c>
      <c r="S49" s="14">
        <f t="shared" si="18"/>
        <v>46351</v>
      </c>
      <c r="T49" s="51">
        <f t="shared" si="18"/>
        <v>46381</v>
      </c>
    </row>
    <row r="50" spans="2:20">
      <c r="B50" s="42" t="str">
        <f>B29</f>
        <v>Transactions (m)</v>
      </c>
      <c r="C50" s="53">
        <f>C29</f>
        <v>1800000</v>
      </c>
      <c r="D50" s="53">
        <f t="shared" ref="D50:H50" si="19">D29</f>
        <v>1900000</v>
      </c>
      <c r="E50" s="53">
        <f t="shared" si="19"/>
        <v>2000000</v>
      </c>
      <c r="F50" s="53">
        <f t="shared" si="19"/>
        <v>2100000</v>
      </c>
      <c r="G50" s="53">
        <f t="shared" si="19"/>
        <v>2200000</v>
      </c>
      <c r="H50" s="53">
        <f t="shared" si="19"/>
        <v>2400000</v>
      </c>
      <c r="I50" s="45">
        <f>H50*(1+$C$13)</f>
        <v>2496000</v>
      </c>
      <c r="J50" s="45">
        <f t="shared" ref="J50:T50" si="20">I50*(1+$C$13)</f>
        <v>2595840</v>
      </c>
      <c r="K50" s="45">
        <f t="shared" si="20"/>
        <v>2699673.6000000001</v>
      </c>
      <c r="L50" s="45">
        <f t="shared" si="20"/>
        <v>2807660.5440000002</v>
      </c>
      <c r="M50" s="45">
        <f t="shared" si="20"/>
        <v>2919966.9657600005</v>
      </c>
      <c r="N50" s="45">
        <f t="shared" si="20"/>
        <v>3036765.6443904005</v>
      </c>
      <c r="O50" s="45">
        <f t="shared" si="20"/>
        <v>3158236.2701660166</v>
      </c>
      <c r="P50" s="45">
        <f t="shared" si="20"/>
        <v>3284565.7209726572</v>
      </c>
      <c r="Q50" s="45">
        <f t="shared" si="20"/>
        <v>3415948.3498115637</v>
      </c>
      <c r="R50" s="45">
        <f t="shared" si="20"/>
        <v>3552586.2838040264</v>
      </c>
      <c r="S50" s="45">
        <f t="shared" si="20"/>
        <v>3694689.7351561878</v>
      </c>
      <c r="T50" s="48">
        <f t="shared" si="20"/>
        <v>3842477.3245624355</v>
      </c>
    </row>
    <row r="51" spans="2:20">
      <c r="B51" s="42" t="str">
        <f>B30</f>
        <v>Avg Fee (₦)</v>
      </c>
      <c r="C51" s="53">
        <f t="shared" ref="C51:H53" si="21">C30</f>
        <v>48</v>
      </c>
      <c r="D51" s="53">
        <f t="shared" si="21"/>
        <v>48</v>
      </c>
      <c r="E51" s="53">
        <f t="shared" si="21"/>
        <v>49</v>
      </c>
      <c r="F51" s="53">
        <f t="shared" si="21"/>
        <v>49</v>
      </c>
      <c r="G51" s="53">
        <f t="shared" si="21"/>
        <v>49</v>
      </c>
      <c r="H51" s="53">
        <f t="shared" si="21"/>
        <v>49</v>
      </c>
      <c r="I51" s="53">
        <f>$C$14</f>
        <v>47</v>
      </c>
      <c r="J51" s="53">
        <f t="shared" ref="J51:T51" si="22">$C$14</f>
        <v>47</v>
      </c>
      <c r="K51" s="53">
        <f t="shared" si="22"/>
        <v>47</v>
      </c>
      <c r="L51" s="53">
        <f t="shared" si="22"/>
        <v>47</v>
      </c>
      <c r="M51" s="53">
        <f t="shared" si="22"/>
        <v>47</v>
      </c>
      <c r="N51" s="53">
        <f t="shared" si="22"/>
        <v>47</v>
      </c>
      <c r="O51" s="53">
        <f t="shared" si="22"/>
        <v>47</v>
      </c>
      <c r="P51" s="53">
        <f t="shared" si="22"/>
        <v>47</v>
      </c>
      <c r="Q51" s="53">
        <f t="shared" si="22"/>
        <v>47</v>
      </c>
      <c r="R51" s="53">
        <f t="shared" si="22"/>
        <v>47</v>
      </c>
      <c r="S51" s="53">
        <f t="shared" si="22"/>
        <v>47</v>
      </c>
      <c r="T51" s="54">
        <f t="shared" si="22"/>
        <v>47</v>
      </c>
    </row>
    <row r="52" spans="2:20">
      <c r="B52" s="42" t="str">
        <f>B31</f>
        <v>Actual Revenue</v>
      </c>
      <c r="C52" s="53">
        <f t="shared" si="21"/>
        <v>86400000</v>
      </c>
      <c r="D52" s="53">
        <f t="shared" si="21"/>
        <v>91200000</v>
      </c>
      <c r="E52" s="53">
        <f t="shared" si="21"/>
        <v>98000000</v>
      </c>
      <c r="F52" s="53">
        <f t="shared" si="21"/>
        <v>102900000</v>
      </c>
      <c r="G52" s="53">
        <f t="shared" si="21"/>
        <v>107800000</v>
      </c>
      <c r="H52" s="53">
        <f t="shared" si="21"/>
        <v>117600000</v>
      </c>
      <c r="I52" s="53">
        <f>I50*I51</f>
        <v>117312000</v>
      </c>
      <c r="J52" s="53">
        <f t="shared" ref="J52:T52" si="23">J50*J51</f>
        <v>122004480</v>
      </c>
      <c r="K52" s="53">
        <f t="shared" si="23"/>
        <v>126884659.2</v>
      </c>
      <c r="L52" s="53">
        <f t="shared" si="23"/>
        <v>131960045.568</v>
      </c>
      <c r="M52" s="53">
        <f t="shared" si="23"/>
        <v>137238447.39072001</v>
      </c>
      <c r="N52" s="53">
        <f t="shared" si="23"/>
        <v>142727985.28634882</v>
      </c>
      <c r="O52" s="53">
        <f t="shared" si="23"/>
        <v>148437104.69780278</v>
      </c>
      <c r="P52" s="53">
        <f t="shared" si="23"/>
        <v>154374588.88571489</v>
      </c>
      <c r="Q52" s="53">
        <f t="shared" si="23"/>
        <v>160549572.44114348</v>
      </c>
      <c r="R52" s="53">
        <f t="shared" si="23"/>
        <v>166971555.33878925</v>
      </c>
      <c r="S52" s="53">
        <f t="shared" si="23"/>
        <v>173650417.55234084</v>
      </c>
      <c r="T52" s="54">
        <f t="shared" si="23"/>
        <v>180596434.25443447</v>
      </c>
    </row>
    <row r="53" spans="2:20" ht="15" thickBot="1">
      <c r="B53" s="44" t="str">
        <f>B32</f>
        <v>Actual Cost</v>
      </c>
      <c r="C53" s="55">
        <f t="shared" si="21"/>
        <v>66000000</v>
      </c>
      <c r="D53" s="55">
        <f t="shared" si="21"/>
        <v>65000000</v>
      </c>
      <c r="E53" s="55">
        <f t="shared" si="21"/>
        <v>68000000</v>
      </c>
      <c r="F53" s="55">
        <f t="shared" si="21"/>
        <v>70000000</v>
      </c>
      <c r="G53" s="55">
        <f t="shared" si="21"/>
        <v>72000000</v>
      </c>
      <c r="H53" s="55">
        <f t="shared" si="21"/>
        <v>74000000</v>
      </c>
      <c r="I53" s="49">
        <f>H53*(1+$C$15)</f>
        <v>81400000</v>
      </c>
      <c r="J53" s="49">
        <f t="shared" ref="J53:T53" si="24">I53*(1+$C$15)</f>
        <v>89540000</v>
      </c>
      <c r="K53" s="49">
        <f t="shared" si="24"/>
        <v>98494000.000000015</v>
      </c>
      <c r="L53" s="49">
        <f t="shared" si="24"/>
        <v>108343400.00000003</v>
      </c>
      <c r="M53" s="49">
        <f t="shared" si="24"/>
        <v>119177740.00000004</v>
      </c>
      <c r="N53" s="49">
        <f t="shared" si="24"/>
        <v>131095514.00000006</v>
      </c>
      <c r="O53" s="49">
        <f t="shared" si="24"/>
        <v>144205065.40000007</v>
      </c>
      <c r="P53" s="49">
        <f>O53*(1+$C$15)</f>
        <v>158625571.94000009</v>
      </c>
      <c r="Q53" s="49">
        <f t="shared" si="24"/>
        <v>174488129.13400012</v>
      </c>
      <c r="R53" s="49">
        <f t="shared" si="24"/>
        <v>191936942.04740015</v>
      </c>
      <c r="S53" s="49">
        <f>R53*(1+$C$15)</f>
        <v>211130636.25214016</v>
      </c>
      <c r="T53" s="50">
        <f>S53*(1+$C$15)</f>
        <v>232243699.8773542</v>
      </c>
    </row>
    <row r="54" spans="2:20">
      <c r="C54" s="11"/>
      <c r="D54" s="11"/>
      <c r="E54" s="11"/>
      <c r="F54" s="11"/>
      <c r="G54" s="11"/>
      <c r="H54" s="11"/>
    </row>
  </sheetData>
  <mergeCells count="13">
    <mergeCell ref="C41:H41"/>
    <mergeCell ref="I41:T41"/>
    <mergeCell ref="C48:H48"/>
    <mergeCell ref="I48:T48"/>
    <mergeCell ref="B2:C2"/>
    <mergeCell ref="B7:C7"/>
    <mergeCell ref="B12:C12"/>
    <mergeCell ref="C20:H20"/>
    <mergeCell ref="I20:T20"/>
    <mergeCell ref="C27:H27"/>
    <mergeCell ref="I27:T27"/>
    <mergeCell ref="C34:H34"/>
    <mergeCell ref="I34:T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F55E-B067-4AD5-BB9F-6B15C17DCB26}">
  <dimension ref="B3:N32"/>
  <sheetViews>
    <sheetView showGridLines="0" topLeftCell="A3" zoomScale="78" zoomScaleNormal="78" workbookViewId="0">
      <selection activeCell="C13" sqref="C13"/>
    </sheetView>
  </sheetViews>
  <sheetFormatPr defaultRowHeight="14.5"/>
  <cols>
    <col min="2" max="2" width="25.90625" bestFit="1" customWidth="1"/>
    <col min="3" max="3" width="16.7265625" bestFit="1" customWidth="1"/>
    <col min="4" max="13" width="14.81640625" bestFit="1" customWidth="1"/>
    <col min="14" max="14" width="14.90625" bestFit="1" customWidth="1"/>
  </cols>
  <sheetData>
    <row r="3" spans="2:14">
      <c r="B3" s="9" t="s">
        <v>40</v>
      </c>
      <c r="C3" s="25">
        <v>1</v>
      </c>
    </row>
    <row r="4" spans="2:14">
      <c r="B4" s="9" t="s">
        <v>3</v>
      </c>
      <c r="C4" s="58">
        <f>SUM(FORECAST!I24:T24)</f>
        <v>2410246877.4618111</v>
      </c>
    </row>
    <row r="8" spans="2:14">
      <c r="B8" s="61" t="s">
        <v>41</v>
      </c>
    </row>
    <row r="9" spans="2:14">
      <c r="B9" s="7" t="s">
        <v>0</v>
      </c>
      <c r="C9" s="59">
        <f>FORECAST!I21</f>
        <v>46047</v>
      </c>
      <c r="D9" s="59">
        <f>FORECAST!J21</f>
        <v>46078</v>
      </c>
      <c r="E9" s="59">
        <f>FORECAST!K21</f>
        <v>46106</v>
      </c>
      <c r="F9" s="59">
        <f>FORECAST!L21</f>
        <v>46137</v>
      </c>
      <c r="G9" s="59">
        <f>FORECAST!M21</f>
        <v>46167</v>
      </c>
      <c r="H9" s="59">
        <f>FORECAST!N21</f>
        <v>46198</v>
      </c>
      <c r="I9" s="59">
        <f>FORECAST!O21</f>
        <v>46228</v>
      </c>
      <c r="J9" s="59">
        <f>FORECAST!P21</f>
        <v>46259</v>
      </c>
      <c r="K9" s="59">
        <f>FORECAST!Q21</f>
        <v>46290</v>
      </c>
      <c r="L9" s="59">
        <f>FORECAST!R21</f>
        <v>46320</v>
      </c>
      <c r="M9" s="59">
        <f>FORECAST!S21</f>
        <v>46351</v>
      </c>
      <c r="N9" s="59">
        <f>FORECAST!T21</f>
        <v>46381</v>
      </c>
    </row>
    <row r="10" spans="2:14">
      <c r="B10" s="7" t="s">
        <v>3</v>
      </c>
      <c r="C10" s="29">
        <f>FORECAST!I24</f>
        <v>127008000</v>
      </c>
      <c r="D10" s="29">
        <f>FORECAST!J24</f>
        <v>137168640</v>
      </c>
      <c r="E10" s="29">
        <f>FORECAST!K24</f>
        <v>148142131.20000002</v>
      </c>
      <c r="F10" s="29">
        <f>FORECAST!L24</f>
        <v>159993501.69600004</v>
      </c>
      <c r="G10" s="29">
        <f>FORECAST!M24</f>
        <v>172792981.83168006</v>
      </c>
      <c r="H10" s="29">
        <f>FORECAST!N24</f>
        <v>186616420.37821448</v>
      </c>
      <c r="I10" s="29">
        <f>FORECAST!O24</f>
        <v>201545734.00847164</v>
      </c>
      <c r="J10" s="29">
        <f>FORECAST!P24</f>
        <v>217669392.72914937</v>
      </c>
      <c r="K10" s="29">
        <f>FORECAST!Q24</f>
        <v>235082944.14748138</v>
      </c>
      <c r="L10" s="29">
        <f>FORECAST!R24</f>
        <v>253889579.67927989</v>
      </c>
      <c r="M10" s="29">
        <f>FORECAST!S24</f>
        <v>274200746.05362231</v>
      </c>
      <c r="N10" s="29">
        <f>FORECAST!T24</f>
        <v>296136805.73791212</v>
      </c>
    </row>
    <row r="11" spans="2:14">
      <c r="B11" s="7" t="s">
        <v>22</v>
      </c>
      <c r="C11" s="29">
        <f>FORECAST!I25</f>
        <v>77700000</v>
      </c>
      <c r="D11" s="29">
        <f>FORECAST!J25</f>
        <v>81585000</v>
      </c>
      <c r="E11" s="29">
        <f>FORECAST!K25</f>
        <v>85664250</v>
      </c>
      <c r="F11" s="29">
        <f>FORECAST!L25</f>
        <v>89947462.5</v>
      </c>
      <c r="G11" s="29">
        <f>FORECAST!M25</f>
        <v>94444835.625</v>
      </c>
      <c r="H11" s="29">
        <f>FORECAST!N25</f>
        <v>99167077.40625</v>
      </c>
      <c r="I11" s="29">
        <f>FORECAST!O25</f>
        <v>104125431.2765625</v>
      </c>
      <c r="J11" s="29">
        <f>FORECAST!P25</f>
        <v>109331702.84039062</v>
      </c>
      <c r="K11" s="29">
        <f>FORECAST!Q25</f>
        <v>114798287.98241016</v>
      </c>
      <c r="L11" s="29">
        <f>FORECAST!R25</f>
        <v>120538202.38153067</v>
      </c>
      <c r="M11" s="29">
        <f>FORECAST!S25</f>
        <v>126565112.50060721</v>
      </c>
      <c r="N11" s="29">
        <f>FORECAST!T25</f>
        <v>132893368.12563758</v>
      </c>
    </row>
    <row r="12" spans="2:14">
      <c r="B12" s="17" t="s">
        <v>44</v>
      </c>
      <c r="C12" s="60">
        <f>C10-C11</f>
        <v>49308000</v>
      </c>
      <c r="D12" s="60">
        <f t="shared" ref="D12:N12" si="0">D10-D11</f>
        <v>55583640</v>
      </c>
      <c r="E12" s="60">
        <f t="shared" si="0"/>
        <v>62477881.200000018</v>
      </c>
      <c r="F12" s="60">
        <f t="shared" si="0"/>
        <v>70046039.19600004</v>
      </c>
      <c r="G12" s="60">
        <f t="shared" si="0"/>
        <v>78348146.206680059</v>
      </c>
      <c r="H12" s="60">
        <f t="shared" si="0"/>
        <v>87449342.971964478</v>
      </c>
      <c r="I12" s="60">
        <f t="shared" si="0"/>
        <v>97420302.731909141</v>
      </c>
      <c r="J12" s="60">
        <f t="shared" si="0"/>
        <v>108337689.88875875</v>
      </c>
      <c r="K12" s="60">
        <f t="shared" si="0"/>
        <v>120284656.16507122</v>
      </c>
      <c r="L12" s="60">
        <f t="shared" si="0"/>
        <v>133351377.29774922</v>
      </c>
      <c r="M12" s="60">
        <f t="shared" si="0"/>
        <v>147635633.55301511</v>
      </c>
      <c r="N12" s="60">
        <f t="shared" si="0"/>
        <v>163243437.61227453</v>
      </c>
    </row>
    <row r="13" spans="2:14">
      <c r="B13" s="66"/>
    </row>
    <row r="15" spans="2:14">
      <c r="B15" s="62" t="s">
        <v>42</v>
      </c>
      <c r="C15" s="67">
        <f>C9</f>
        <v>46047</v>
      </c>
      <c r="D15" s="67">
        <f t="shared" ref="D15:N15" si="1">D9</f>
        <v>46078</v>
      </c>
      <c r="E15" s="67">
        <f t="shared" si="1"/>
        <v>46106</v>
      </c>
      <c r="F15" s="67">
        <f t="shared" si="1"/>
        <v>46137</v>
      </c>
      <c r="G15" s="67">
        <f t="shared" si="1"/>
        <v>46167</v>
      </c>
      <c r="H15" s="67">
        <f t="shared" si="1"/>
        <v>46198</v>
      </c>
      <c r="I15" s="67">
        <f t="shared" si="1"/>
        <v>46228</v>
      </c>
      <c r="J15" s="67">
        <f t="shared" si="1"/>
        <v>46259</v>
      </c>
      <c r="K15" s="67">
        <f t="shared" si="1"/>
        <v>46290</v>
      </c>
      <c r="L15" s="67">
        <f t="shared" si="1"/>
        <v>46320</v>
      </c>
      <c r="M15" s="67">
        <f t="shared" si="1"/>
        <v>46351</v>
      </c>
      <c r="N15" s="67">
        <f t="shared" si="1"/>
        <v>46381</v>
      </c>
    </row>
    <row r="16" spans="2:14">
      <c r="B16" s="7" t="str" cm="1">
        <f t="array" ref="B16:B19">TRANSPOSE('ORIGINAL ANNUAL BUDGET '!E1:H1)</f>
        <v>Marketing</v>
      </c>
      <c r="C16" s="29" cm="1">
        <f t="array" ref="C16:N16">TRANSPOSE('ORIGINAL ANNUAL BUDGET '!E2:E13)</f>
        <v>20000000</v>
      </c>
      <c r="D16" s="29">
        <v>20000000</v>
      </c>
      <c r="E16" s="29">
        <v>22000000</v>
      </c>
      <c r="F16" s="29">
        <v>22000000</v>
      </c>
      <c r="G16" s="29">
        <v>24000000</v>
      </c>
      <c r="H16" s="29">
        <v>25000000</v>
      </c>
      <c r="I16" s="29">
        <v>26000000</v>
      </c>
      <c r="J16" s="29">
        <v>26000000</v>
      </c>
      <c r="K16" s="29">
        <v>27000000</v>
      </c>
      <c r="L16" s="29">
        <v>28000000</v>
      </c>
      <c r="M16" s="29">
        <v>29000000</v>
      </c>
      <c r="N16" s="29">
        <v>30000000</v>
      </c>
    </row>
    <row r="17" spans="2:14">
      <c r="B17" s="7" t="str">
        <v>Operation</v>
      </c>
      <c r="C17" s="29" cm="1">
        <f t="array" ref="C17:N17">TRANSPOSE('ORIGINAL ANNUAL BUDGET '!F2:F13)</f>
        <v>15000000</v>
      </c>
      <c r="D17" s="29">
        <v>15000000</v>
      </c>
      <c r="E17" s="29">
        <v>16000000</v>
      </c>
      <c r="F17" s="29">
        <v>16000000</v>
      </c>
      <c r="G17" s="29">
        <v>17000000</v>
      </c>
      <c r="H17" s="29">
        <v>18000000</v>
      </c>
      <c r="I17" s="29">
        <v>18000000</v>
      </c>
      <c r="J17" s="29">
        <v>19000000</v>
      </c>
      <c r="K17" s="29">
        <v>19000000</v>
      </c>
      <c r="L17" s="29">
        <v>20000000</v>
      </c>
      <c r="M17" s="29">
        <v>21000000</v>
      </c>
      <c r="N17" s="29">
        <v>22000000</v>
      </c>
    </row>
    <row r="18" spans="2:14">
      <c r="B18" s="7" t="str">
        <v>Tech</v>
      </c>
      <c r="C18" s="29" cm="1">
        <f t="array" ref="C18:N18">TRANSPOSE('ORIGINAL ANNUAL BUDGET '!G2:G13)</f>
        <v>10000000</v>
      </c>
      <c r="D18" s="29">
        <v>10000000</v>
      </c>
      <c r="E18" s="29">
        <v>10000000</v>
      </c>
      <c r="F18" s="29">
        <v>11000000</v>
      </c>
      <c r="G18" s="29">
        <v>11000000</v>
      </c>
      <c r="H18" s="29">
        <v>12000000</v>
      </c>
      <c r="I18" s="29">
        <v>12000000</v>
      </c>
      <c r="J18" s="29">
        <v>12000000</v>
      </c>
      <c r="K18" s="29">
        <v>13000000</v>
      </c>
      <c r="L18" s="29">
        <v>13000000</v>
      </c>
      <c r="M18" s="29">
        <v>14000000</v>
      </c>
      <c r="N18" s="29">
        <v>15000000</v>
      </c>
    </row>
    <row r="19" spans="2:14">
      <c r="B19" s="7" t="str">
        <v>Staff</v>
      </c>
      <c r="C19" s="29" cm="1">
        <f t="array" ref="C19:N19">TRANSPOSE('ORIGINAL ANNUAL BUDGET '!H2:H13)</f>
        <v>18000000</v>
      </c>
      <c r="D19" s="29">
        <v>18000000</v>
      </c>
      <c r="E19" s="29">
        <v>18000000</v>
      </c>
      <c r="F19" s="29">
        <v>18000000</v>
      </c>
      <c r="G19" s="29">
        <v>19000000</v>
      </c>
      <c r="H19" s="29">
        <v>19000000</v>
      </c>
      <c r="I19" s="29">
        <v>20000000</v>
      </c>
      <c r="J19" s="29">
        <v>20000000</v>
      </c>
      <c r="K19" s="29">
        <v>20000000</v>
      </c>
      <c r="L19" s="29">
        <v>21000000</v>
      </c>
      <c r="M19" s="29">
        <v>21000000</v>
      </c>
      <c r="N19" s="29">
        <v>22000000</v>
      </c>
    </row>
    <row r="20" spans="2:14">
      <c r="B20" s="7" t="s">
        <v>43</v>
      </c>
      <c r="C20" s="45">
        <f>SUM(C16:C19)</f>
        <v>63000000</v>
      </c>
      <c r="D20" s="45">
        <f t="shared" ref="D20:N20" si="2">SUM(D16:D19)</f>
        <v>63000000</v>
      </c>
      <c r="E20" s="45">
        <f t="shared" si="2"/>
        <v>66000000</v>
      </c>
      <c r="F20" s="45">
        <f t="shared" si="2"/>
        <v>67000000</v>
      </c>
      <c r="G20" s="45">
        <f t="shared" si="2"/>
        <v>71000000</v>
      </c>
      <c r="H20" s="45">
        <f t="shared" si="2"/>
        <v>74000000</v>
      </c>
      <c r="I20" s="45">
        <f t="shared" si="2"/>
        <v>76000000</v>
      </c>
      <c r="J20" s="45">
        <f t="shared" si="2"/>
        <v>77000000</v>
      </c>
      <c r="K20" s="45">
        <f t="shared" si="2"/>
        <v>79000000</v>
      </c>
      <c r="L20" s="45">
        <f t="shared" si="2"/>
        <v>82000000</v>
      </c>
      <c r="M20" s="45">
        <f t="shared" si="2"/>
        <v>85000000</v>
      </c>
      <c r="N20" s="45">
        <f t="shared" si="2"/>
        <v>89000000</v>
      </c>
    </row>
    <row r="22" spans="2:14">
      <c r="B22" s="17" t="s">
        <v>45</v>
      </c>
      <c r="C22" s="63">
        <f>C12-C20</f>
        <v>-13692000</v>
      </c>
      <c r="D22" s="63">
        <f t="shared" ref="D22:N22" si="3">D12-D20</f>
        <v>-7416360</v>
      </c>
      <c r="E22" s="63">
        <f t="shared" si="3"/>
        <v>-3522118.7999999821</v>
      </c>
      <c r="F22" s="63">
        <f t="shared" si="3"/>
        <v>3046039.1960000396</v>
      </c>
      <c r="G22" s="63">
        <f t="shared" si="3"/>
        <v>7348146.2066800594</v>
      </c>
      <c r="H22" s="63">
        <f t="shared" si="3"/>
        <v>13449342.971964478</v>
      </c>
      <c r="I22" s="63">
        <f t="shared" si="3"/>
        <v>21420302.731909141</v>
      </c>
      <c r="J22" s="63">
        <f t="shared" si="3"/>
        <v>31337689.888758749</v>
      </c>
      <c r="K22" s="63">
        <f t="shared" si="3"/>
        <v>41284656.165071219</v>
      </c>
      <c r="L22" s="63">
        <f t="shared" si="3"/>
        <v>51351377.297749221</v>
      </c>
      <c r="M22" s="63">
        <f t="shared" si="3"/>
        <v>62635633.553015113</v>
      </c>
      <c r="N22" s="63">
        <f t="shared" si="3"/>
        <v>74243437.612274528</v>
      </c>
    </row>
    <row r="23" spans="2:14">
      <c r="B23" s="7" t="s">
        <v>47</v>
      </c>
      <c r="C23" s="45">
        <f>IF(C22*$C$24&gt;0, C22*$C$24, 0)</f>
        <v>0</v>
      </c>
      <c r="D23" s="45">
        <f t="shared" ref="D23:G23" si="4">IF(D22*$C$24&gt;0, D22*$C$24, 0)</f>
        <v>0</v>
      </c>
      <c r="E23" s="45">
        <f t="shared" si="4"/>
        <v>0</v>
      </c>
      <c r="F23" s="45">
        <f t="shared" si="4"/>
        <v>456905.87940000591</v>
      </c>
      <c r="G23" s="45">
        <f t="shared" si="4"/>
        <v>1102221.931002009</v>
      </c>
      <c r="H23" s="45">
        <f t="shared" ref="H23" si="5">IF(H22*$C$24&gt;0, H22*$C$24, 0)</f>
        <v>2017401.4457946718</v>
      </c>
      <c r="I23" s="45">
        <f t="shared" ref="I23" si="6">IF(I22*$C$24&gt;0, I22*$C$24, 0)</f>
        <v>3213045.409786371</v>
      </c>
      <c r="J23" s="45">
        <f t="shared" ref="J23:K23" si="7">IF(J22*$C$24&gt;0, J22*$C$24, 0)</f>
        <v>4700653.4833138119</v>
      </c>
      <c r="K23" s="45">
        <f t="shared" si="7"/>
        <v>6192698.4247606825</v>
      </c>
      <c r="L23" s="45">
        <f t="shared" ref="L23" si="8">IF(L22*$C$24&gt;0, L22*$C$24, 0)</f>
        <v>7702706.5946623832</v>
      </c>
      <c r="M23" s="45">
        <f t="shared" ref="M23" si="9">IF(M22*$C$24&gt;0, M22*$C$24, 0)</f>
        <v>9395345.0329522658</v>
      </c>
      <c r="N23" s="45">
        <f t="shared" ref="N23" si="10">IF(N22*$C$24&gt;0, N22*$C$24, 0)</f>
        <v>11136515.641841179</v>
      </c>
    </row>
    <row r="24" spans="2:14">
      <c r="B24" s="7" t="s">
        <v>46</v>
      </c>
      <c r="C24" s="64">
        <v>0.15</v>
      </c>
    </row>
    <row r="25" spans="2:14">
      <c r="B25" t="s">
        <v>49</v>
      </c>
      <c r="C25" s="57"/>
    </row>
    <row r="27" spans="2:14">
      <c r="B27" s="9" t="s">
        <v>48</v>
      </c>
      <c r="C27" s="65">
        <f>(C12-C23)</f>
        <v>49308000</v>
      </c>
      <c r="D27" s="65">
        <f t="shared" ref="D27:N27" si="11">(D12-D23)</f>
        <v>55583640</v>
      </c>
      <c r="E27" s="65">
        <f t="shared" si="11"/>
        <v>62477881.200000018</v>
      </c>
      <c r="F27" s="65">
        <f>(F12-F23)</f>
        <v>69589133.31660004</v>
      </c>
      <c r="G27" s="65">
        <f t="shared" si="11"/>
        <v>77245924.275678053</v>
      </c>
      <c r="H27" s="65">
        <f t="shared" si="11"/>
        <v>85431941.526169807</v>
      </c>
      <c r="I27" s="65">
        <f t="shared" si="11"/>
        <v>94207257.322122768</v>
      </c>
      <c r="J27" s="65">
        <f t="shared" si="11"/>
        <v>103637036.40544493</v>
      </c>
      <c r="K27" s="65">
        <f t="shared" si="11"/>
        <v>114091957.74031053</v>
      </c>
      <c r="L27" s="65">
        <f t="shared" si="11"/>
        <v>125648670.70308684</v>
      </c>
      <c r="M27" s="65">
        <f t="shared" si="11"/>
        <v>138240288.52006283</v>
      </c>
      <c r="N27" s="65">
        <f t="shared" si="11"/>
        <v>152106921.97043335</v>
      </c>
    </row>
    <row r="30" spans="2:14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2" spans="2:14"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</row>
  </sheetData>
  <dataValidations count="1">
    <dataValidation type="list" allowBlank="1" showInputMessage="1" showErrorMessage="1" sqref="C3" xr:uid="{6ADA3228-6CFD-4E38-8C6C-234A2048D71B}">
      <formula1>"1,2,3"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866B-D85D-467A-B131-9D9179754356}">
  <dimension ref="A2:S6"/>
  <sheetViews>
    <sheetView showGridLines="0" zoomScale="84" zoomScaleNormal="84" workbookViewId="0">
      <selection activeCell="D7" sqref="D7"/>
    </sheetView>
  </sheetViews>
  <sheetFormatPr defaultRowHeight="14.5"/>
  <cols>
    <col min="1" max="1" width="20.90625" bestFit="1" customWidth="1"/>
    <col min="2" max="7" width="20.453125" bestFit="1" customWidth="1"/>
  </cols>
  <sheetData>
    <row r="2" spans="1:19" ht="15" thickBot="1"/>
    <row r="3" spans="1:19">
      <c r="A3" s="71" t="s">
        <v>50</v>
      </c>
      <c r="B3" s="69">
        <v>45839</v>
      </c>
      <c r="C3" s="69">
        <v>45870</v>
      </c>
      <c r="D3" s="69">
        <v>45901</v>
      </c>
      <c r="E3" s="69">
        <v>45931</v>
      </c>
      <c r="F3" s="69">
        <v>45962</v>
      </c>
      <c r="G3" s="70">
        <v>45992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>
      <c r="A4" s="42" t="s">
        <v>36</v>
      </c>
      <c r="B4" s="29">
        <f>'ACTUAL RESULTS (JUL–DEC)'!D2-'ORIGINAL ANNUAL BUDGET '!D2</f>
        <v>-13600000</v>
      </c>
      <c r="C4" s="29">
        <f>'ACTUAL RESULTS (JUL–DEC)'!D3-'ORIGINAL ANNUAL BUDGET '!D3</f>
        <v>-13800000</v>
      </c>
      <c r="D4" s="29">
        <f>'ACTUAL RESULTS (JUL–DEC)'!D4-'ORIGINAL ANNUAL BUDGET '!D4</f>
        <v>-17000000</v>
      </c>
      <c r="E4" s="29">
        <f>'ACTUAL RESULTS (JUL–DEC)'!D5-'ORIGINAL ANNUAL BUDGET '!D5</f>
        <v>-17100000</v>
      </c>
      <c r="F4" s="29">
        <f>'ACTUAL RESULTS (JUL–DEC)'!D6-'ORIGINAL ANNUAL BUDGET '!D6</f>
        <v>-22200000</v>
      </c>
      <c r="G4" s="34">
        <f>'ACTUAL RESULTS (JUL–DEC)'!D7-'ORIGINAL ANNUAL BUDGET '!D7</f>
        <v>-22400000</v>
      </c>
    </row>
    <row r="5" spans="1:19">
      <c r="A5" s="42" t="s">
        <v>37</v>
      </c>
      <c r="B5" s="45">
        <f>B4*'ACTUAL RESULTS (JUL–DEC)'!B2</f>
        <v>-24480000000000</v>
      </c>
      <c r="C5" s="45">
        <f>C4*'ACTUAL RESULTS (JUL–DEC)'!B3</f>
        <v>-26220000000000</v>
      </c>
      <c r="D5" s="45">
        <f>D4*'ACTUAL RESULTS (JUL–DEC)'!B4</f>
        <v>-34000000000000</v>
      </c>
      <c r="E5" s="45">
        <f>E4*'ACTUAL RESULTS (JUL–DEC)'!B5</f>
        <v>-35910000000000</v>
      </c>
      <c r="F5" s="45">
        <f>F4*'ACTUAL RESULTS (JUL–DEC)'!B6</f>
        <v>-48840000000000</v>
      </c>
      <c r="G5" s="48">
        <f>G4*'ACTUAL RESULTS (JUL–DEC)'!B7</f>
        <v>-53760000000000</v>
      </c>
    </row>
    <row r="6" spans="1:19" ht="15" thickBot="1">
      <c r="A6" s="44" t="s">
        <v>38</v>
      </c>
      <c r="B6" s="49">
        <f>B4*'ORIGINAL ANNUAL BUDGET '!C2</f>
        <v>-680000000</v>
      </c>
      <c r="C6" s="49">
        <f>C4*'ORIGINAL ANNUAL BUDGET '!C3</f>
        <v>-690000000</v>
      </c>
      <c r="D6" s="49">
        <f>D4*'ORIGINAL ANNUAL BUDGET '!C4</f>
        <v>-850000000</v>
      </c>
      <c r="E6" s="49">
        <f>E4*'ORIGINAL ANNUAL BUDGET '!C5</f>
        <v>-855000000</v>
      </c>
      <c r="F6" s="49">
        <f>F4*'ORIGINAL ANNUAL BUDGET '!C6</f>
        <v>-1110000000</v>
      </c>
      <c r="G6" s="50">
        <f>G4*'ORIGINAL ANNUAL BUDGET '!C7</f>
        <v>-1120000000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ANNUAL BUDGET </vt:lpstr>
      <vt:lpstr>ACTUAL RESULTS (JUL–DEC)</vt:lpstr>
      <vt:lpstr>FORECAST</vt:lpstr>
      <vt:lpstr>INCOME STATEMENT</vt:lpstr>
      <vt:lpstr>COST_VARIANCE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Adedoyin Oluwarotimi [ MTN Nigeria ]</dc:creator>
  <cp:lastModifiedBy>Adedoyin Oluwarotimi [ MTN Nigeria ]</cp:lastModifiedBy>
  <dcterms:created xsi:type="dcterms:W3CDTF">2026-01-22T08:37:52Z</dcterms:created>
  <dcterms:modified xsi:type="dcterms:W3CDTF">2026-01-28T12:32:50Z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310d7d-6047-4ff9-b5ce-71e5a0ff4d2b_Enabled">
    <vt:lpwstr>true</vt:lpwstr>
  </property>
  <property fmtid="{D5CDD505-2E9C-101B-9397-08002B2CF9AE}" pid="3" name="MSIP_Label_b4310d7d-6047-4ff9-b5ce-71e5a0ff4d2b_SetDate">
    <vt:lpwstr>2026-01-22T08:38:27Z</vt:lpwstr>
  </property>
  <property fmtid="{D5CDD505-2E9C-101B-9397-08002B2CF9AE}" pid="4" name="MSIP_Label_b4310d7d-6047-4ff9-b5ce-71e5a0ff4d2b_Method">
    <vt:lpwstr>Privileged</vt:lpwstr>
  </property>
  <property fmtid="{D5CDD505-2E9C-101B-9397-08002B2CF9AE}" pid="5" name="MSIP_Label_b4310d7d-6047-4ff9-b5ce-71e5a0ff4d2b_Name">
    <vt:lpwstr>b4310d7d-6047-4ff9-b5ce-71e5a0ff4d2b</vt:lpwstr>
  </property>
  <property fmtid="{D5CDD505-2E9C-101B-9397-08002B2CF9AE}" pid="6" name="MSIP_Label_b4310d7d-6047-4ff9-b5ce-71e5a0ff4d2b_SiteId">
    <vt:lpwstr>c9b9cb50-3644-4db4-a267-fa84df2f4ceb</vt:lpwstr>
  </property>
  <property fmtid="{D5CDD505-2E9C-101B-9397-08002B2CF9AE}" pid="7" name="MSIP_Label_b4310d7d-6047-4ff9-b5ce-71e5a0ff4d2b_ActionId">
    <vt:lpwstr>3e086ef0-a686-49d5-8179-2098e898f61f</vt:lpwstr>
  </property>
  <property fmtid="{D5CDD505-2E9C-101B-9397-08002B2CF9AE}" pid="8" name="MSIP_Label_b4310d7d-6047-4ff9-b5ce-71e5a0ff4d2b_ContentBits">
    <vt:lpwstr>2</vt:lpwstr>
  </property>
  <property fmtid="{D5CDD505-2E9C-101B-9397-08002B2CF9AE}" pid="9" name="MSIP_Label_b4310d7d-6047-4ff9-b5ce-71e5a0ff4d2b_Tag">
    <vt:lpwstr>10, 0, 1, 1</vt:lpwstr>
  </property>
</Properties>
</file>